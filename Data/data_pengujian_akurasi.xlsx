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ngo\Documents\TUGAS\KTI\ORBITAL_SIM\Calculation\3D\B\EXP\"/>
    </mc:Choice>
  </mc:AlternateContent>
  <xr:revisionPtr revIDLastSave="0" documentId="13_ncr:1_{56695537-BBAB-4841-BF3C-11F1D476FBEF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NASA" sheetId="14" r:id="rId1"/>
    <sheet name="dt_1" sheetId="16" r:id="rId2"/>
    <sheet name="dt_7" sheetId="17" r:id="rId3"/>
    <sheet name="dt_14" sheetId="18" r:id="rId4"/>
    <sheet name="dt_21" sheetId="19" r:id="rId5"/>
    <sheet name="dt_28" sheetId="20" r:id="rId6"/>
    <sheet name="dt_30" sheetId="21" r:id="rId7"/>
    <sheet name="Sheet2" sheetId="15" r:id="rId8"/>
  </sheets>
  <definedNames>
    <definedName name="ExternalData_1" localSheetId="1" hidden="1">'dt_1'!$A$1:$E$1463</definedName>
    <definedName name="ExternalData_1" localSheetId="0" hidden="1">NASA!$B$1:$E$1463</definedName>
    <definedName name="ExternalData_2" localSheetId="2" hidden="1">'dt_7'!$A$1:$E$211</definedName>
    <definedName name="ExternalData_3" localSheetId="3" hidden="1">'dt_14'!$A$1:$E$107</definedName>
    <definedName name="ExternalData_4" localSheetId="4" hidden="1">'dt_21'!$A$1:$E$72</definedName>
    <definedName name="ExternalData_5" localSheetId="5" hidden="1">'dt_28'!$A$1:$E$55</definedName>
    <definedName name="ExternalData_6" localSheetId="6" hidden="1">'dt_30'!$A$1:$E$51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5" l="1"/>
  <c r="D7" i="15"/>
  <c r="D8" i="15"/>
  <c r="D9" i="15"/>
  <c r="D10" i="15"/>
  <c r="D11" i="15"/>
  <c r="E1464" i="16"/>
  <c r="E212" i="17"/>
  <c r="E108" i="18"/>
  <c r="E73" i="19"/>
  <c r="E56" i="20"/>
  <c r="E52" i="21"/>
  <c r="A3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2" i="14"/>
  <c r="D5" i="15" s="1"/>
  <c r="E1464" i="14" l="1"/>
  <c r="A4" i="14"/>
  <c r="H8" i="18" l="1"/>
  <c r="E8" i="15" s="1"/>
  <c r="H8" i="17"/>
  <c r="E7" i="15" s="1"/>
  <c r="H8" i="19"/>
  <c r="E9" i="15" s="1"/>
  <c r="H8" i="20"/>
  <c r="E10" i="15" s="1"/>
  <c r="H8" i="21"/>
  <c r="E11" i="15" s="1"/>
  <c r="H8" i="16"/>
  <c r="E6" i="15" s="1"/>
  <c r="A5" i="14"/>
  <c r="A6" i="14" l="1"/>
  <c r="A7" i="14" l="1"/>
  <c r="A8" i="14" l="1"/>
  <c r="A9" i="14" l="1"/>
  <c r="A10" i="14" l="1"/>
  <c r="A11" i="14" l="1"/>
  <c r="A12" i="14" l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A1040" i="14" s="1"/>
  <c r="A1041" i="14" s="1"/>
  <c r="A1042" i="14" s="1"/>
  <c r="A1043" i="14" s="1"/>
  <c r="A1044" i="14" s="1"/>
  <c r="A1045" i="14" s="1"/>
  <c r="A1046" i="14" s="1"/>
  <c r="A1047" i="14" s="1"/>
  <c r="A1048" i="14" s="1"/>
  <c r="A1049" i="14" s="1"/>
  <c r="A1050" i="14" s="1"/>
  <c r="A1051" i="14" s="1"/>
  <c r="A1052" i="14" s="1"/>
  <c r="A1053" i="14" s="1"/>
  <c r="A1054" i="14" s="1"/>
  <c r="A1055" i="14" s="1"/>
  <c r="A1056" i="14" s="1"/>
  <c r="A1057" i="14" s="1"/>
  <c r="A1058" i="14" s="1"/>
  <c r="A1059" i="14" s="1"/>
  <c r="A1060" i="14" s="1"/>
  <c r="A1061" i="14" s="1"/>
  <c r="A1062" i="14" s="1"/>
  <c r="A1063" i="14" s="1"/>
  <c r="A1064" i="14" s="1"/>
  <c r="A1065" i="14" s="1"/>
  <c r="A1066" i="14" s="1"/>
  <c r="A1067" i="14" s="1"/>
  <c r="A1068" i="14" s="1"/>
  <c r="A1069" i="14" s="1"/>
  <c r="A1070" i="14" s="1"/>
  <c r="A1071" i="14" s="1"/>
  <c r="A1072" i="14" s="1"/>
  <c r="A1073" i="14" s="1"/>
  <c r="A1074" i="14" s="1"/>
  <c r="A1075" i="14" s="1"/>
  <c r="A1076" i="14" s="1"/>
  <c r="A1077" i="14" s="1"/>
  <c r="A1078" i="14" s="1"/>
  <c r="A1079" i="14" s="1"/>
  <c r="A1080" i="14" s="1"/>
  <c r="A1081" i="14" s="1"/>
  <c r="A1082" i="14" s="1"/>
  <c r="A1083" i="14" s="1"/>
  <c r="A1084" i="14" s="1"/>
  <c r="A1085" i="14" s="1"/>
  <c r="A1086" i="14" s="1"/>
  <c r="A1087" i="14" s="1"/>
  <c r="A1088" i="14" s="1"/>
  <c r="A1089" i="14" s="1"/>
  <c r="A1090" i="14" s="1"/>
  <c r="A1091" i="14" s="1"/>
  <c r="A1092" i="14" s="1"/>
  <c r="A1093" i="14" s="1"/>
  <c r="A1094" i="14" s="1"/>
  <c r="A1095" i="14" s="1"/>
  <c r="A1096" i="14" s="1"/>
  <c r="A1097" i="14" s="1"/>
  <c r="A1098" i="14" s="1"/>
  <c r="A1099" i="14" s="1"/>
  <c r="A1100" i="14" s="1"/>
  <c r="A1101" i="14" s="1"/>
  <c r="A1102" i="14" s="1"/>
  <c r="A1103" i="14" s="1"/>
  <c r="A1104" i="14" s="1"/>
  <c r="A1105" i="14" s="1"/>
  <c r="A1106" i="14" s="1"/>
  <c r="A1107" i="14" s="1"/>
  <c r="A1108" i="14" s="1"/>
  <c r="A1109" i="14" s="1"/>
  <c r="A1110" i="14" s="1"/>
  <c r="A1111" i="14" s="1"/>
  <c r="A1112" i="14" s="1"/>
  <c r="A1113" i="14" s="1"/>
  <c r="A1114" i="14" s="1"/>
  <c r="A1115" i="14" s="1"/>
  <c r="A1116" i="14" s="1"/>
  <c r="A1117" i="14" s="1"/>
  <c r="A1118" i="14" s="1"/>
  <c r="A1119" i="14" s="1"/>
  <c r="A1120" i="14" s="1"/>
  <c r="A1121" i="14" s="1"/>
  <c r="A1122" i="14" s="1"/>
  <c r="A1123" i="14" s="1"/>
  <c r="A1124" i="14" s="1"/>
  <c r="A1125" i="14" s="1"/>
  <c r="A1126" i="14" s="1"/>
  <c r="A1127" i="14" s="1"/>
  <c r="A1128" i="14" s="1"/>
  <c r="A1129" i="14" s="1"/>
  <c r="A1130" i="14" s="1"/>
  <c r="A1131" i="14" s="1"/>
  <c r="A1132" i="14" s="1"/>
  <c r="A1133" i="14" s="1"/>
  <c r="A1134" i="14" s="1"/>
  <c r="A1135" i="14" s="1"/>
  <c r="A1136" i="14" s="1"/>
  <c r="A1137" i="14" s="1"/>
  <c r="A1138" i="14" s="1"/>
  <c r="A1139" i="14" s="1"/>
  <c r="A1140" i="14" s="1"/>
  <c r="A1141" i="14" s="1"/>
  <c r="A1142" i="14" s="1"/>
  <c r="A1143" i="14" s="1"/>
  <c r="A1144" i="14" s="1"/>
  <c r="A1145" i="14" s="1"/>
  <c r="A1146" i="14" s="1"/>
  <c r="A1147" i="14" s="1"/>
  <c r="A1148" i="14" s="1"/>
  <c r="A1149" i="14" s="1"/>
  <c r="A1150" i="14" s="1"/>
  <c r="A1151" i="14" s="1"/>
  <c r="A1152" i="14" s="1"/>
  <c r="A1153" i="14" s="1"/>
  <c r="A1154" i="14" s="1"/>
  <c r="A1155" i="14" s="1"/>
  <c r="A1156" i="14" s="1"/>
  <c r="A1157" i="14" s="1"/>
  <c r="A1158" i="14" s="1"/>
  <c r="A1159" i="14" s="1"/>
  <c r="A1160" i="14" s="1"/>
  <c r="A1161" i="14" s="1"/>
  <c r="A1162" i="14" s="1"/>
  <c r="A1163" i="14" s="1"/>
  <c r="A1164" i="14" s="1"/>
  <c r="A1165" i="14" s="1"/>
  <c r="A1166" i="14" s="1"/>
  <c r="A1167" i="14" s="1"/>
  <c r="A1168" i="14" s="1"/>
  <c r="A1169" i="14" s="1"/>
  <c r="A1170" i="14" s="1"/>
  <c r="A1171" i="14" s="1"/>
  <c r="A1172" i="14" s="1"/>
  <c r="A1173" i="14" s="1"/>
  <c r="A1174" i="14" s="1"/>
  <c r="A1175" i="14" s="1"/>
  <c r="A1176" i="14" s="1"/>
  <c r="A1177" i="14" s="1"/>
  <c r="A1178" i="14" s="1"/>
  <c r="A1179" i="14" s="1"/>
  <c r="A1180" i="14" s="1"/>
  <c r="A1181" i="14" s="1"/>
  <c r="A1182" i="14" s="1"/>
  <c r="A1183" i="14" s="1"/>
  <c r="A1184" i="14" s="1"/>
  <c r="A1185" i="14" s="1"/>
  <c r="A1186" i="14" s="1"/>
  <c r="A1187" i="14" s="1"/>
  <c r="A1188" i="14" s="1"/>
  <c r="A1189" i="14" s="1"/>
  <c r="A1190" i="14" s="1"/>
  <c r="A1191" i="14" s="1"/>
  <c r="A1192" i="14" s="1"/>
  <c r="A1193" i="14" s="1"/>
  <c r="A1194" i="14" s="1"/>
  <c r="A1195" i="14" s="1"/>
  <c r="A1196" i="14" s="1"/>
  <c r="A1197" i="14" s="1"/>
  <c r="A1198" i="14" s="1"/>
  <c r="A1199" i="14" s="1"/>
  <c r="A1200" i="14" s="1"/>
  <c r="A1201" i="14" s="1"/>
  <c r="A1202" i="14" s="1"/>
  <c r="A1203" i="14" s="1"/>
  <c r="A1204" i="14" s="1"/>
  <c r="A1205" i="14" s="1"/>
  <c r="A1206" i="14" s="1"/>
  <c r="A1207" i="14" s="1"/>
  <c r="A1208" i="14" s="1"/>
  <c r="A1209" i="14" s="1"/>
  <c r="A1210" i="14" s="1"/>
  <c r="A1211" i="14" s="1"/>
  <c r="A1212" i="14" s="1"/>
  <c r="A1213" i="14" s="1"/>
  <c r="A1214" i="14" s="1"/>
  <c r="A1215" i="14" s="1"/>
  <c r="A1216" i="14" s="1"/>
  <c r="A1217" i="14" s="1"/>
  <c r="A1218" i="14" s="1"/>
  <c r="A1219" i="14" s="1"/>
  <c r="A1220" i="14" s="1"/>
  <c r="A1221" i="14" s="1"/>
  <c r="A1222" i="14" s="1"/>
  <c r="A1223" i="14" s="1"/>
  <c r="A1224" i="14" s="1"/>
  <c r="A1225" i="14" s="1"/>
  <c r="A1226" i="14" s="1"/>
  <c r="A1227" i="14" s="1"/>
  <c r="A1228" i="14" s="1"/>
  <c r="A1229" i="14" s="1"/>
  <c r="A1230" i="14" s="1"/>
  <c r="A1231" i="14" s="1"/>
  <c r="A1232" i="14" s="1"/>
  <c r="A1233" i="14" s="1"/>
  <c r="A1234" i="14" s="1"/>
  <c r="A1235" i="14" s="1"/>
  <c r="A1236" i="14" s="1"/>
  <c r="A1237" i="14" s="1"/>
  <c r="A1238" i="14" s="1"/>
  <c r="A1239" i="14" s="1"/>
  <c r="A1240" i="14" s="1"/>
  <c r="A1241" i="14" s="1"/>
  <c r="A1242" i="14" s="1"/>
  <c r="A1243" i="14" s="1"/>
  <c r="A1244" i="14" s="1"/>
  <c r="A1245" i="14" s="1"/>
  <c r="A1246" i="14" s="1"/>
  <c r="A1247" i="14" s="1"/>
  <c r="A1248" i="14" s="1"/>
  <c r="A1249" i="14" s="1"/>
  <c r="A1250" i="14" s="1"/>
  <c r="A1251" i="14" s="1"/>
  <c r="A1252" i="14" s="1"/>
  <c r="A1253" i="14" s="1"/>
  <c r="A1254" i="14" s="1"/>
  <c r="A1255" i="14" s="1"/>
  <c r="A1256" i="14" s="1"/>
  <c r="A1257" i="14" s="1"/>
  <c r="A1258" i="14" s="1"/>
  <c r="A1259" i="14" s="1"/>
  <c r="A1260" i="14" s="1"/>
  <c r="A1261" i="14" s="1"/>
  <c r="A1262" i="14" s="1"/>
  <c r="A1263" i="14" s="1"/>
  <c r="A1264" i="14" s="1"/>
  <c r="A1265" i="14" s="1"/>
  <c r="A1266" i="14" s="1"/>
  <c r="A1267" i="14" s="1"/>
  <c r="A1268" i="14" s="1"/>
  <c r="A1269" i="14" s="1"/>
  <c r="A1270" i="14" s="1"/>
  <c r="A1271" i="14" s="1"/>
  <c r="A1272" i="14" s="1"/>
  <c r="A1273" i="14" s="1"/>
  <c r="A1274" i="14" s="1"/>
  <c r="A1275" i="14" s="1"/>
  <c r="A1276" i="14" s="1"/>
  <c r="A1277" i="14" s="1"/>
  <c r="A1278" i="14" s="1"/>
  <c r="A1279" i="14" s="1"/>
  <c r="A1280" i="14" s="1"/>
  <c r="A1281" i="14" s="1"/>
  <c r="A1282" i="14" s="1"/>
  <c r="A1283" i="14" s="1"/>
  <c r="A1284" i="14" s="1"/>
  <c r="A1285" i="14" s="1"/>
  <c r="A1286" i="14" s="1"/>
  <c r="A1287" i="14" s="1"/>
  <c r="A1288" i="14" s="1"/>
  <c r="A1289" i="14" s="1"/>
  <c r="A1290" i="14" s="1"/>
  <c r="A1291" i="14" s="1"/>
  <c r="A1292" i="14" s="1"/>
  <c r="A1293" i="14" s="1"/>
  <c r="A1294" i="14" s="1"/>
  <c r="A1295" i="14" s="1"/>
  <c r="A1296" i="14" s="1"/>
  <c r="A1297" i="14" s="1"/>
  <c r="A1298" i="14" s="1"/>
  <c r="A1299" i="14" s="1"/>
  <c r="A1300" i="14" s="1"/>
  <c r="A1301" i="14" s="1"/>
  <c r="A1302" i="14" s="1"/>
  <c r="A1303" i="14" s="1"/>
  <c r="A1304" i="14" s="1"/>
  <c r="A1305" i="14" s="1"/>
  <c r="A1306" i="14" s="1"/>
  <c r="A1307" i="14" s="1"/>
  <c r="A1308" i="14" s="1"/>
  <c r="A1309" i="14" s="1"/>
  <c r="A1310" i="14" s="1"/>
  <c r="A1311" i="14" s="1"/>
  <c r="A1312" i="14" s="1"/>
  <c r="A1313" i="14" s="1"/>
  <c r="A1314" i="14" s="1"/>
  <c r="A1315" i="14" s="1"/>
  <c r="A1316" i="14" s="1"/>
  <c r="A1317" i="14" s="1"/>
  <c r="A1318" i="14" s="1"/>
  <c r="A1319" i="14" s="1"/>
  <c r="A1320" i="14" s="1"/>
  <c r="A1321" i="14" s="1"/>
  <c r="A1322" i="14" s="1"/>
  <c r="A1323" i="14" s="1"/>
  <c r="A1324" i="14" s="1"/>
  <c r="A1325" i="14" s="1"/>
  <c r="A1326" i="14" s="1"/>
  <c r="A1327" i="14" s="1"/>
  <c r="A1328" i="14" s="1"/>
  <c r="A1329" i="14" s="1"/>
  <c r="A1330" i="14" s="1"/>
  <c r="A1331" i="14" s="1"/>
  <c r="A1332" i="14" s="1"/>
  <c r="A1333" i="14" s="1"/>
  <c r="A1334" i="14" s="1"/>
  <c r="A1335" i="14" s="1"/>
  <c r="A1336" i="14" s="1"/>
  <c r="A1337" i="14" s="1"/>
  <c r="A1338" i="14" s="1"/>
  <c r="A1339" i="14" s="1"/>
  <c r="A1340" i="14" s="1"/>
  <c r="A1341" i="14" s="1"/>
  <c r="A1342" i="14" s="1"/>
  <c r="A1343" i="14" s="1"/>
  <c r="A1344" i="14" s="1"/>
  <c r="A1345" i="14" s="1"/>
  <c r="A1346" i="14" s="1"/>
  <c r="A1347" i="14" s="1"/>
  <c r="A1348" i="14" s="1"/>
  <c r="A1349" i="14" s="1"/>
  <c r="A1350" i="14" s="1"/>
  <c r="A1351" i="14" s="1"/>
  <c r="A1352" i="14" s="1"/>
  <c r="A1353" i="14" s="1"/>
  <c r="A1354" i="14" s="1"/>
  <c r="A1355" i="14" s="1"/>
  <c r="A1356" i="14" s="1"/>
  <c r="A1357" i="14" s="1"/>
  <c r="A1358" i="14" s="1"/>
  <c r="A1359" i="14" s="1"/>
  <c r="A1360" i="14" s="1"/>
  <c r="A1361" i="14" s="1"/>
  <c r="A1362" i="14" s="1"/>
  <c r="A1363" i="14" s="1"/>
  <c r="A1364" i="14" s="1"/>
  <c r="A1365" i="14" s="1"/>
  <c r="A1366" i="14" s="1"/>
  <c r="A1367" i="14" s="1"/>
  <c r="A1368" i="14" s="1"/>
  <c r="A1369" i="14" s="1"/>
  <c r="A1370" i="14" s="1"/>
  <c r="A1371" i="14" s="1"/>
  <c r="A1372" i="14" s="1"/>
  <c r="A1373" i="14" s="1"/>
  <c r="A1374" i="14" s="1"/>
  <c r="A1375" i="14" s="1"/>
  <c r="A1376" i="14" s="1"/>
  <c r="A1377" i="14" s="1"/>
  <c r="A1378" i="14" s="1"/>
  <c r="A1379" i="14" s="1"/>
  <c r="A1380" i="14" s="1"/>
  <c r="A1381" i="14" s="1"/>
  <c r="A1382" i="14" s="1"/>
  <c r="A1383" i="14" s="1"/>
  <c r="A1384" i="14" s="1"/>
  <c r="A1385" i="14" s="1"/>
  <c r="A1386" i="14" s="1"/>
  <c r="A1387" i="14" s="1"/>
  <c r="A1388" i="14" s="1"/>
  <c r="A1389" i="14" s="1"/>
  <c r="A1390" i="14" s="1"/>
  <c r="A1391" i="14" s="1"/>
  <c r="A1392" i="14" s="1"/>
  <c r="A1393" i="14" s="1"/>
  <c r="A1394" i="14" s="1"/>
  <c r="A1395" i="14" s="1"/>
  <c r="A1396" i="14" s="1"/>
  <c r="A1397" i="14" s="1"/>
  <c r="A1398" i="14" s="1"/>
  <c r="A1399" i="14" s="1"/>
  <c r="A1400" i="14" s="1"/>
  <c r="A1401" i="14" s="1"/>
  <c r="A1402" i="14" s="1"/>
  <c r="A1403" i="14" s="1"/>
  <c r="A1404" i="14" s="1"/>
  <c r="A1405" i="14" s="1"/>
  <c r="A1406" i="14" s="1"/>
  <c r="A1407" i="14" s="1"/>
  <c r="A1408" i="14" s="1"/>
  <c r="A1409" i="14" s="1"/>
  <c r="A1410" i="14" s="1"/>
  <c r="A1411" i="14" s="1"/>
  <c r="A1412" i="14" s="1"/>
  <c r="A1413" i="14" s="1"/>
  <c r="A1414" i="14" s="1"/>
  <c r="A1415" i="14" s="1"/>
  <c r="A1416" i="14" s="1"/>
  <c r="A1417" i="14" s="1"/>
  <c r="A1418" i="14" s="1"/>
  <c r="A1419" i="14" s="1"/>
  <c r="A1420" i="14" s="1"/>
  <c r="A1421" i="14" s="1"/>
  <c r="A1422" i="14" s="1"/>
  <c r="A1423" i="14" s="1"/>
  <c r="A1424" i="14" s="1"/>
  <c r="A1425" i="14" s="1"/>
  <c r="A1426" i="14" s="1"/>
  <c r="A1427" i="14" s="1"/>
  <c r="A1428" i="14" s="1"/>
  <c r="A1429" i="14" s="1"/>
  <c r="A1430" i="14" s="1"/>
  <c r="A1431" i="14" s="1"/>
  <c r="A1432" i="14" s="1"/>
  <c r="A1433" i="14" s="1"/>
  <c r="A1434" i="14" s="1"/>
  <c r="A1435" i="14" s="1"/>
  <c r="A1436" i="14" s="1"/>
  <c r="A1437" i="14" s="1"/>
  <c r="A1438" i="14" s="1"/>
  <c r="A1439" i="14" s="1"/>
  <c r="A1440" i="14" s="1"/>
  <c r="A1441" i="14" s="1"/>
  <c r="A1442" i="14" s="1"/>
  <c r="A1443" i="14" s="1"/>
  <c r="A1444" i="14" s="1"/>
  <c r="A1445" i="14" s="1"/>
  <c r="A1446" i="14" s="1"/>
  <c r="A1447" i="14" s="1"/>
  <c r="A1448" i="14" s="1"/>
  <c r="A1449" i="14" s="1"/>
  <c r="A1450" i="14" s="1"/>
  <c r="A1451" i="14" s="1"/>
  <c r="A1452" i="14" s="1"/>
  <c r="A1453" i="14" s="1"/>
  <c r="A1454" i="14" s="1"/>
  <c r="A1455" i="14" s="1"/>
  <c r="A1456" i="14" s="1"/>
  <c r="A1457" i="14" s="1"/>
  <c r="A1458" i="14" s="1"/>
  <c r="A1459" i="14" s="1"/>
  <c r="A1460" i="14" s="1"/>
  <c r="A1461" i="14" s="1"/>
  <c r="A1462" i="14" s="1"/>
  <c r="A146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dt_1" description="Connection to the 'dt_1' query in the workbook." type="5" refreshedVersion="7" background="1" saveData="1">
    <dbPr connection="Provider=Microsoft.Mashup.OleDb.1;Data Source=$Workbook$;Location=dt_1;Extended Properties=&quot;&quot;" command="SELECT * FROM [dt_1]"/>
  </connection>
  <connection id="2" xr16:uid="{00000000-0015-0000-FFFF-FFFF01000000}" keepAlive="1" name="Query - dt_14" description="Connection to the 'dt_14' query in the workbook." type="5" refreshedVersion="7" background="1" saveData="1">
    <dbPr connection="Provider=Microsoft.Mashup.OleDb.1;Data Source=$Workbook$;Location=dt_14;Extended Properties=&quot;&quot;" command="SELECT * FROM [dt_14]"/>
  </connection>
  <connection id="3" xr16:uid="{00000000-0015-0000-FFFF-FFFF02000000}" keepAlive="1" name="Query - dt_21" description="Connection to the 'dt_21' query in the workbook." type="5" refreshedVersion="7" background="1" saveData="1">
    <dbPr connection="Provider=Microsoft.Mashup.OleDb.1;Data Source=$Workbook$;Location=dt_21;Extended Properties=&quot;&quot;" command="SELECT * FROM [dt_21]"/>
  </connection>
  <connection id="4" xr16:uid="{00000000-0015-0000-FFFF-FFFF03000000}" keepAlive="1" name="Query - dt_28" description="Connection to the 'dt_28' query in the workbook." type="5" refreshedVersion="7" background="1" saveData="1">
    <dbPr connection="Provider=Microsoft.Mashup.OleDb.1;Data Source=$Workbook$;Location=dt_28;Extended Properties=&quot;&quot;" command="SELECT * FROM [dt_28]"/>
  </connection>
  <connection id="5" xr16:uid="{00000000-0015-0000-FFFF-FFFF04000000}" keepAlive="1" name="Query - dt_30" description="Connection to the 'dt_30' query in the workbook." type="5" refreshedVersion="7" background="1" saveData="1">
    <dbPr connection="Provider=Microsoft.Mashup.OleDb.1;Data Source=$Workbook$;Location=dt_30;Extended Properties=&quot;&quot;" command="SELECT * FROM [dt_30]"/>
  </connection>
  <connection id="6" xr16:uid="{00000000-0015-0000-FFFF-FFFF05000000}" keepAlive="1" name="Query - dt_7" description="Connection to the 'dt_7' query in the workbook." type="5" refreshedVersion="7" background="1" saveData="1">
    <dbPr connection="Provider=Microsoft.Mashup.OleDb.1;Data Source=$Workbook$;Location=dt_7;Extended Properties=&quot;&quot;" command="SELECT * FROM [dt_7]"/>
  </connection>
  <connection id="7" xr16:uid="{00000000-0015-0000-FFFF-FFFF06000000}" keepAlive="1" name="Query - horizons_results_fin_use - Copy (2)" description="Connection to the 'horizons_results_fin_use - Copy (2)' query in the workbook." type="5" refreshedVersion="7" background="1" saveData="1">
    <dbPr connection="Provider=Microsoft.Mashup.OleDb.1;Data Source=$Workbook$;Location=&quot;horizons_results_fin_use - Copy (2)&quot;;Extended Properties=&quot;&quot;" command="SELECT * FROM [horizons_results_fin_use - Copy (2)]"/>
  </connection>
</connections>
</file>

<file path=xl/sharedStrings.xml><?xml version="1.0" encoding="utf-8"?>
<sst xmlns="http://schemas.openxmlformats.org/spreadsheetml/2006/main" count="83" uniqueCount="19">
  <si>
    <t>sumber: https://ssd.jpl.nasa.gov/horizons/app.html#/</t>
  </si>
  <si>
    <t>Average Distance</t>
  </si>
  <si>
    <t>r (Distance in AU)</t>
  </si>
  <si>
    <t>Z (Position in AU)</t>
  </si>
  <si>
    <t>Y (Position in AU)</t>
  </si>
  <si>
    <t>X (Position in AU)</t>
  </si>
  <si>
    <t>t (Day)</t>
  </si>
  <si>
    <t>Error</t>
  </si>
  <si>
    <t>Error %</t>
  </si>
  <si>
    <t>Referensi</t>
  </si>
  <si>
    <t>Hasil</t>
  </si>
  <si>
    <t>Error % (MAPE)</t>
  </si>
  <si>
    <t>Data rata-rata jarak milik NASA</t>
  </si>
  <si>
    <t>Data rata-rata jarak hasil perhitungan sesuai dt</t>
  </si>
  <si>
    <t>dt (Hari)</t>
  </si>
  <si>
    <t>Jarak Rata-Rata (AU)</t>
  </si>
  <si>
    <t>1 (NASA)</t>
  </si>
  <si>
    <t>Data rata-rata jarak hasil perhitungan sesuai langkah waktu</t>
  </si>
  <si>
    <r>
      <t>Error % (</t>
    </r>
    <r>
      <rPr>
        <i/>
        <sz val="12"/>
        <color theme="1"/>
        <rFont val="Times New Roman"/>
        <family val="1"/>
      </rPr>
      <t>MAPE</t>
    </r>
    <r>
      <rPr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</si>
</sst>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0000"/>
    <numFmt numFmtId="165" formatCode="0.000%"/>
    <numFmt numFmtId="166" formatCode="0.00000000000000%"/>
    <numFmt numFmtId="167" formatCode="0.000000000000000%"/>
    <numFmt numFmtId="168" formatCode="0.000000000000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00000000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/>
              <a:t>Grafik Error Berdasarkan Langkah Waktu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Sheet2!$D$4</c:f>
              <c:strCache>
                <c:ptCount val="1"/>
                <c:pt idx="0">
                  <c:v>Jarak Rata-Rata (AU)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Sheet2!$C$5:$C$11</c:f>
              <c:strCache>
                <c:ptCount val="7"/>
                <c:pt idx="0">
                  <c:v>1 (NASA)</c:v>
                </c:pt>
                <c:pt idx="1">
                  <c:v>1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30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7"/>
                <c:pt idx="0">
                  <c:v>1.0001276008542288</c:v>
                </c:pt>
                <c:pt idx="1">
                  <c:v>1.0004665715536252</c:v>
                </c:pt>
                <c:pt idx="2">
                  <c:v>1.0041072942147624</c:v>
                </c:pt>
                <c:pt idx="3">
                  <c:v>1.0152629100518873</c:v>
                </c:pt>
                <c:pt idx="4">
                  <c:v>1.0341536891450707</c:v>
                </c:pt>
                <c:pt idx="5">
                  <c:v>1.0605830034888892</c:v>
                </c:pt>
                <c:pt idx="6">
                  <c:v>1.0709305170320003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9-4C02-AEEA-75A8089EF9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867717007"/>
        <c:axId val="867714511"/>
      </c:barChart>
      <c:lineChart>
        <c:grouping val="standard"/>
        <c:varyColors val="1"/>
        <c:ser>
          <c:idx val="1"/>
          <c:order val="1"/>
          <c:tx>
            <c:strRef>
              <c:f>Sheet2!$E$4</c:f>
              <c:strCache>
                <c:ptCount val="1"/>
                <c:pt idx="0">
                  <c:v>Error %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Sheet2!$C$5:$C$11</c:f>
              <c:strCache>
                <c:ptCount val="7"/>
                <c:pt idx="0">
                  <c:v>1 (NASA)</c:v>
                </c:pt>
                <c:pt idx="1">
                  <c:v>1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  <c:pt idx="6">
                  <c:v>30</c:v>
                </c:pt>
              </c:strCache>
            </c:strRef>
          </c:cat>
          <c:val>
            <c:numRef>
              <c:f>Sheet2!$E$5:$E$11</c:f>
              <c:numCache>
                <c:formatCode>0.000%</c:formatCode>
                <c:ptCount val="7"/>
                <c:pt idx="0">
                  <c:v>0</c:v>
                </c:pt>
                <c:pt idx="1">
                  <c:v>3.3892745196397595E-4</c:v>
                </c:pt>
                <c:pt idx="2">
                  <c:v>3.9791856130502491E-3</c:v>
                </c:pt>
                <c:pt idx="3">
                  <c:v>1.5133378165677178E-2</c:v>
                </c:pt>
                <c:pt idx="4">
                  <c:v>3.4021747086851219E-2</c:v>
                </c:pt>
                <c:pt idx="5">
                  <c:v>6.0447689457849445E-2</c:v>
                </c:pt>
                <c:pt idx="6">
                  <c:v>7.0793882817849721E-2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9-4C02-AEEA-75A8089E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668767"/>
        <c:axId val="1053670847"/>
      </c:lineChart>
      <c:catAx>
        <c:axId val="867717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Langkah Waktu (Hari)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d-ID"/>
          </a:p>
        </c:txPr>
        <c:crossAx val="867714511"/>
        <c:crosses val="autoZero"/>
        <c:auto val="1"/>
        <c:lblAlgn val="ctr"/>
        <c:lblOffset val="100"/>
        <c:noMultiLvlLbl val="0"/>
      </c:catAx>
      <c:valAx>
        <c:axId val="86771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jarak rata-rata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d-ID"/>
          </a:p>
        </c:txPr>
        <c:crossAx val="867717007"/>
        <c:crosses val="autoZero"/>
        <c:crossBetween val="between"/>
      </c:valAx>
      <c:valAx>
        <c:axId val="105367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PERSENTASE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d-ID"/>
          </a:p>
        </c:txPr>
        <c:crossAx val="1053668767"/>
        <c:crosses val="max"/>
        <c:crossBetween val="between"/>
      </c:valAx>
      <c:catAx>
        <c:axId val="105366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3670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104775</xdr:rowOff>
    </xdr:from>
    <xdr:ext cx="1796004" cy="3766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A175E1-F520-4CA2-BD79-B133843ABA46}"/>
                </a:ext>
              </a:extLst>
            </xdr:cNvPr>
            <xdr:cNvSpPr txBox="1"/>
          </xdr:nvSpPr>
          <xdr:spPr>
            <a:xfrm>
              <a:off x="7315200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𝐻𝑎𝑠𝑖𝑙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A175E1-F520-4CA2-BD79-B133843ABA46}"/>
                </a:ext>
              </a:extLst>
            </xdr:cNvPr>
            <xdr:cNvSpPr txBox="1"/>
          </xdr:nvSpPr>
          <xdr:spPr>
            <a:xfrm>
              <a:off x="7315200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(𝐻𝑎𝑠𝑖𝑙−𝑅𝑒𝑓𝑒𝑟𝑒𝑛𝑠𝑖)/𝑅𝑒𝑓𝑒𝑟𝑒𝑛𝑠𝑖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×100%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104775</xdr:rowOff>
    </xdr:from>
    <xdr:ext cx="1796004" cy="3766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24F26E-DE84-44FC-94B4-8E6826AB0CA4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𝐻𝑎𝑠𝑖𝑙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424F26E-DE84-44FC-94B4-8E6826AB0CA4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(𝐻𝑎𝑠𝑖𝑙−𝑅𝑒𝑓𝑒𝑟𝑒𝑛𝑠𝑖)/𝑅𝑒𝑓𝑒𝑟𝑒𝑛𝑠𝑖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×100%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104775</xdr:rowOff>
    </xdr:from>
    <xdr:ext cx="1796004" cy="3766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7C7603-06BF-49F1-B63A-7A60308D7013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𝐻𝑎𝑠𝑖𝑙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7C7603-06BF-49F1-B63A-7A60308D7013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(𝐻𝑎𝑠𝑖𝑙−𝑅𝑒𝑓𝑒𝑟𝑒𝑛𝑠𝑖)/𝑅𝑒𝑓𝑒𝑟𝑒𝑛𝑠𝑖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×100%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104775</xdr:rowOff>
    </xdr:from>
    <xdr:ext cx="1796004" cy="3766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FC1B062-BDB8-418C-91A2-38BA7EE29942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𝐻𝑎𝑠𝑖𝑙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FC1B062-BDB8-418C-91A2-38BA7EE29942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(𝐻𝑎𝑠𝑖𝑙−𝑅𝑒𝑓𝑒𝑟𝑒𝑛𝑠𝑖)/𝑅𝑒𝑓𝑒𝑟𝑒𝑛𝑠𝑖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×100%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104775</xdr:rowOff>
    </xdr:from>
    <xdr:ext cx="1796004" cy="3766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BB7B9F5-C93D-4A53-9CFC-A45BC0C5E0F4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𝐻𝑎𝑠𝑖𝑙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BB7B9F5-C93D-4A53-9CFC-A45BC0C5E0F4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(𝐻𝑎𝑠𝑖𝑙−𝑅𝑒𝑓𝑒𝑟𝑒𝑛𝑠𝑖)/𝑅𝑒𝑓𝑒𝑟𝑒𝑛𝑠𝑖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×100%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</xdr:row>
      <xdr:rowOff>104775</xdr:rowOff>
    </xdr:from>
    <xdr:ext cx="1796004" cy="3766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294E1D-FDFC-4E90-98C1-6CB13564D8BD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𝐻𝑎𝑠𝑖𝑙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𝑅𝑒𝑓𝑒𝑟𝑒𝑛𝑠𝑖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×100%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294E1D-FDFC-4E90-98C1-6CB13564D8BD}"/>
                </a:ext>
              </a:extLst>
            </xdr:cNvPr>
            <xdr:cNvSpPr txBox="1"/>
          </xdr:nvSpPr>
          <xdr:spPr>
            <a:xfrm>
              <a:off x="7667625" y="485775"/>
              <a:ext cx="1796004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(𝐻𝑎𝑠𝑖𝑙−𝑅𝑒𝑓𝑒𝑟𝑒𝑛𝑠𝑖)/𝑅𝑒𝑓𝑒𝑟𝑒𝑛𝑠𝑖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×100%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10</xdr:row>
      <xdr:rowOff>66675</xdr:rowOff>
    </xdr:from>
    <xdr:to>
      <xdr:col>11</xdr:col>
      <xdr:colOff>66675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1589EE-E906-4C61-94A8-62B721F5E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0000-000001000000}" autoFormatId="16" applyNumberFormats="0" applyBorderFormats="0" applyFontFormats="0" applyPatternFormats="0" applyAlignmentFormats="0" applyWidthHeightFormats="0">
  <queryTableRefresh nextId="12" unboundColumnsLeft="1">
    <queryTableFields count="5">
      <queryTableField id="11" dataBound="0" tableColumnId="11"/>
      <queryTableField id="1" name="                      X" tableColumnId="1"/>
      <queryTableField id="2" name="                      Y" tableColumnId="2"/>
      <queryTableField id="3" name="                      Z" tableColumnId="3"/>
      <queryTableField id="10" name="Column1" tableColumnId="10"/>
    </queryTableFields>
    <queryTableDeletedFields count="6">
      <deletedField name="                     VX"/>
      <deletedField name="                     VY"/>
      <deletedField name="                     VZ"/>
      <deletedField name="                     LT"/>
      <deletedField name="                     RG"/>
      <deletedField name="                     R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2000000}" autoFormatId="16" applyNumberFormats="0" applyBorderFormats="0" applyFontFormats="0" applyPatternFormats="0" applyAlignmentFormats="0" applyWidthHeightFormats="0">
  <queryTableRefresh nextId="7">
    <queryTableFields count="5">
      <queryTableField id="1" name="t" tableColumnId="1"/>
      <queryTableField id="2" name="x" tableColumnId="2"/>
      <queryTableField id="3" name="y" tableColumnId="3"/>
      <queryTableField id="4" name="z" tableColumnId="4"/>
      <queryTableField id="5" name="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0000000-0016-0000-0200-000000000000}" autoFormatId="16" applyNumberFormats="0" applyBorderFormats="0" applyFontFormats="0" applyPatternFormats="0" applyAlignmentFormats="0" applyWidthHeightFormats="0">
  <queryTableRefresh nextId="7">
    <queryTableFields count="5">
      <queryTableField id="1" name="t" tableColumnId="1"/>
      <queryTableField id="2" name="x" tableColumnId="2"/>
      <queryTableField id="3" name="y" tableColumnId="3"/>
      <queryTableField id="4" name="z" tableColumnId="4"/>
      <queryTableField id="5" name="r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0000000-0016-0000-0300-000003000000}" autoFormatId="16" applyNumberFormats="0" applyBorderFormats="0" applyFontFormats="0" applyPatternFormats="0" applyAlignmentFormats="0" applyWidthHeightFormats="0">
  <queryTableRefresh nextId="7">
    <queryTableFields count="5">
      <queryTableField id="1" name="t" tableColumnId="1"/>
      <queryTableField id="2" name="x" tableColumnId="2"/>
      <queryTableField id="3" name="y" tableColumnId="3"/>
      <queryTableField id="4" name="z" tableColumnId="4"/>
      <queryTableField id="5" name="r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00000000-0016-0000-0400-000004000000}" autoFormatId="16" applyNumberFormats="0" applyBorderFormats="0" applyFontFormats="0" applyPatternFormats="0" applyAlignmentFormats="0" applyWidthHeightFormats="0">
  <queryTableRefresh nextId="7">
    <queryTableFields count="5">
      <queryTableField id="1" name="t" tableColumnId="1"/>
      <queryTableField id="2" name="x" tableColumnId="2"/>
      <queryTableField id="3" name="y" tableColumnId="3"/>
      <queryTableField id="4" name="z" tableColumnId="4"/>
      <queryTableField id="5" name="r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00000000-0016-0000-0500-000005000000}" autoFormatId="16" applyNumberFormats="0" applyBorderFormats="0" applyFontFormats="0" applyPatternFormats="0" applyAlignmentFormats="0" applyWidthHeightFormats="0">
  <queryTableRefresh nextId="7">
    <queryTableFields count="5">
      <queryTableField id="1" name="t" tableColumnId="1"/>
      <queryTableField id="2" name="x" tableColumnId="2"/>
      <queryTableField id="3" name="y" tableColumnId="3"/>
      <queryTableField id="4" name="z" tableColumnId="4"/>
      <queryTableField id="5" name="r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00000000-0016-0000-0600-000006000000}" autoFormatId="16" applyNumberFormats="0" applyBorderFormats="0" applyFontFormats="0" applyPatternFormats="0" applyAlignmentFormats="0" applyWidthHeightFormats="0">
  <queryTableRefresh nextId="7">
    <queryTableFields count="5">
      <queryTableField id="1" name="t" tableColumnId="1"/>
      <queryTableField id="2" name="x" tableColumnId="2"/>
      <queryTableField id="3" name="y" tableColumnId="3"/>
      <queryTableField id="4" name="z" tableColumnId="4"/>
      <queryTableField id="5" name="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EDAF2-60FE-4D25-9353-A904B3FFCAEF}" name="horizons_results_fin_use___Copy__2" displayName="horizons_results_fin_use___Copy__2" ref="A1:E1464" tableType="queryTable" totalsRowCount="1" dataDxfId="87">
  <autoFilter ref="A1:E1463" xr:uid="{650EDAF2-60FE-4D25-9353-A904B3FFCAEF}"/>
  <tableColumns count="5">
    <tableColumn id="11" xr3:uid="{D6416786-8A78-4FB3-95FA-F351CB6E7129}" uniqueName="11" name="t (Day)" queryTableFieldId="11" dataDxfId="86" totalsRowDxfId="85"/>
    <tableColumn id="1" xr3:uid="{4DB1FD09-A2C0-47F9-899D-01BC72A9EAAB}" uniqueName="1" name="X (Position in AU)" queryTableFieldId="1" dataDxfId="84" totalsRowDxfId="83"/>
    <tableColumn id="2" xr3:uid="{587EF220-5A77-4D79-8294-7AB8AC5249B7}" uniqueName="2" name="Y (Position in AU)" queryTableFieldId="2" dataDxfId="82" totalsRowDxfId="81"/>
    <tableColumn id="3" xr3:uid="{53DCE776-6F3E-4962-8DFB-75A285645E7E}" uniqueName="3" name="Z (Position in AU)" totalsRowLabel="Average Distance" queryTableFieldId="3" dataDxfId="80" totalsRowDxfId="79"/>
    <tableColumn id="10" xr3:uid="{244FB046-FCE8-4738-97ED-C8D7B02AEA22}" uniqueName="10" name="r (Distance in AU)" totalsRowFunction="custom" queryTableFieldId="10" dataDxfId="78" totalsRowDxfId="77">
      <totalsRowFormula>AVERAGE(horizons_results_fin_use___Copy__2[r (Distance in AU)])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4CBB86-9043-4BE6-B6C6-718467DD754A}" name="dt_1" displayName="dt_1" ref="A1:E1464" tableType="queryTable" totalsRowCount="1" dataDxfId="76">
  <autoFilter ref="A1:E1463" xr:uid="{694CBB86-9043-4BE6-B6C6-718467DD754A}"/>
  <sortState xmlns:xlrd2="http://schemas.microsoft.com/office/spreadsheetml/2017/richdata2" ref="A2:E1463">
    <sortCondition ref="A1:A1463"/>
  </sortState>
  <tableColumns count="5">
    <tableColumn id="1" xr3:uid="{85769B2E-8790-4876-BB70-5C6AFE7F4462}" uniqueName="1" name="t (Day)" queryTableFieldId="1" dataDxfId="75" totalsRowDxfId="74"/>
    <tableColumn id="2" xr3:uid="{660F161A-C434-42C2-84E8-79137B28A934}" uniqueName="2" name="X (Position in AU)" queryTableFieldId="2" dataDxfId="73"/>
    <tableColumn id="3" xr3:uid="{10909CAE-28EB-4E6F-B4B2-AA80B7B508C9}" uniqueName="3" name="Y (Position in AU)" queryTableFieldId="3" dataDxfId="72" totalsRowDxfId="71"/>
    <tableColumn id="4" xr3:uid="{6F325D54-7F0C-4F12-B42A-78DF3428AD50}" uniqueName="4" name="Z (Position in AU)" totalsRowLabel="Average Distance" queryTableFieldId="4" dataDxfId="70" totalsRowDxfId="69"/>
    <tableColumn id="5" xr3:uid="{81386B8F-2007-43ED-A066-CC251637EDA7}" uniqueName="5" name="r (Distance in AU)" totalsRowFunction="custom" queryTableFieldId="5" dataDxfId="68" totalsRowDxfId="67">
      <totalsRowFormula>AVERAGE(dt_1[r (Distance in AU)])</totalsRow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F60E86-D1F2-4E7D-A255-591DF3FFDB6A}" name="dt_7" displayName="dt_7" ref="A1:E212" tableType="queryTable" totalsRowCount="1" dataDxfId="66">
  <autoFilter ref="A1:E211" xr:uid="{52F60E86-D1F2-4E7D-A255-591DF3FFDB6A}"/>
  <tableColumns count="5">
    <tableColumn id="1" xr3:uid="{B420EA72-0FEA-4E9F-9DB3-4B5571846E67}" uniqueName="1" name="t (Day)" queryTableFieldId="1" dataDxfId="65" totalsRowDxfId="64"/>
    <tableColumn id="2" xr3:uid="{419A6F01-A1B1-46E1-82AE-34D67ECD2D38}" uniqueName="2" name="X (Position in AU)" queryTableFieldId="2" dataDxfId="63" totalsRowDxfId="62"/>
    <tableColumn id="3" xr3:uid="{E7650CF3-E384-429B-8C34-9CE1CEFD35A7}" uniqueName="3" name="Y (Position in AU)" queryTableFieldId="3" dataDxfId="61" totalsRowDxfId="60"/>
    <tableColumn id="4" xr3:uid="{B0F84E46-C0E4-4E1C-9C91-99BFC2A11240}" uniqueName="4" name="Z (Position in AU)" totalsRowLabel="Average Distance" queryTableFieldId="4" dataDxfId="59" totalsRowDxfId="58"/>
    <tableColumn id="5" xr3:uid="{0D5A1F0A-244A-4268-9F61-EC70C5E2C5FD}" uniqueName="5" name="r (Distance in AU)" totalsRowFunction="custom" queryTableFieldId="5" dataDxfId="57" totalsRowDxfId="56">
      <totalsRowFormula>AVERAGE(dt_7[r (Distance in AU)])</totalsRow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4222B8-79E1-4F71-B337-6FA4D7CA40FB}" name="dt_14" displayName="dt_14" ref="A1:E108" tableType="queryTable" totalsRowCount="1" dataDxfId="55">
  <autoFilter ref="A1:E107" xr:uid="{844222B8-79E1-4F71-B337-6FA4D7CA40FB}"/>
  <tableColumns count="5">
    <tableColumn id="1" xr3:uid="{6DF53C5F-F0BC-46C5-90E7-860DE600510B}" uniqueName="1" name="t (Day)" queryTableFieldId="1" dataDxfId="54" totalsRowDxfId="53"/>
    <tableColumn id="2" xr3:uid="{E0B1033B-BB13-444D-BEDA-7129FF4AA8DB}" uniqueName="2" name="X (Position in AU)" queryTableFieldId="2" dataDxfId="52" totalsRowDxfId="51"/>
    <tableColumn id="3" xr3:uid="{EBA32533-228E-4AC8-9E0B-4BE22A0D4CB1}" uniqueName="3" name="Y (Position in AU)" queryTableFieldId="3" dataDxfId="50" totalsRowDxfId="49"/>
    <tableColumn id="4" xr3:uid="{FDDABF89-47B2-4C07-B496-64E0B2B32C3E}" uniqueName="4" name="Z (Position in AU)" totalsRowLabel="Average Distance" queryTableFieldId="4" dataDxfId="48" totalsRowDxfId="47"/>
    <tableColumn id="5" xr3:uid="{94D981C8-ABC7-40E5-AE55-FBDB75C65DA4}" uniqueName="5" name="r (Distance in AU)" totalsRowFunction="custom" queryTableFieldId="5" dataDxfId="46" totalsRowDxfId="45">
      <totalsRowFormula>AVERAGE(dt_14[r (Distance in AU)])</totalsRow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D87DA4-6665-4DF9-9F2F-A32897BD5C8D}" name="dt_21" displayName="dt_21" ref="A1:E73" tableType="queryTable" totalsRowCount="1" dataDxfId="44">
  <autoFilter ref="A1:E72" xr:uid="{25D87DA4-6665-4DF9-9F2F-A32897BD5C8D}"/>
  <tableColumns count="5">
    <tableColumn id="1" xr3:uid="{B7E31651-0C88-4BA9-894F-52EAD1B78614}" uniqueName="1" name="t (Day)" queryTableFieldId="1" dataDxfId="43" totalsRowDxfId="42"/>
    <tableColumn id="2" xr3:uid="{E18A3EF0-FD21-47A1-811C-C577E6F3C61F}" uniqueName="2" name="X (Position in AU)" queryTableFieldId="2" dataDxfId="41" totalsRowDxfId="40"/>
    <tableColumn id="3" xr3:uid="{876D5433-A061-4528-8214-2AC8A0AEDC5A}" uniqueName="3" name="Y (Position in AU)" queryTableFieldId="3" dataDxfId="39" totalsRowDxfId="38"/>
    <tableColumn id="4" xr3:uid="{B7F65790-7509-4315-8595-465C58878590}" uniqueName="4" name="Z (Position in AU)" totalsRowLabel="Average Distance" queryTableFieldId="4" dataDxfId="37" totalsRowDxfId="36"/>
    <tableColumn id="5" xr3:uid="{1288E16B-0163-41CA-96B1-2D5AE10F6761}" uniqueName="5" name="r (Distance in AU)" totalsRowFunction="custom" queryTableFieldId="5" dataDxfId="35" totalsRowDxfId="34">
      <totalsRowFormula>AVERAGE(dt_21[r (Distance in AU)])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DAD797-2B7C-4925-A53F-4811385017CC}" name="dt_28" displayName="dt_28" ref="A1:E56" tableType="queryTable" totalsRowCount="1" headerRowDxfId="33" dataDxfId="32" totalsRowDxfId="31">
  <autoFilter ref="A1:E55" xr:uid="{74DAD797-2B7C-4925-A53F-4811385017CC}"/>
  <tableColumns count="5">
    <tableColumn id="1" xr3:uid="{6AEB873B-AAA7-47C9-B6BA-99AD4FA9212C}" uniqueName="1" name="t (Day)" queryTableFieldId="1" dataDxfId="30" totalsRowDxfId="29"/>
    <tableColumn id="2" xr3:uid="{49B22188-99C2-4760-B609-48F3081516BE}" uniqueName="2" name="X (Position in AU)" queryTableFieldId="2" dataDxfId="28" totalsRowDxfId="27"/>
    <tableColumn id="3" xr3:uid="{080DD308-56A4-484B-823C-E82802B39D3F}" uniqueName="3" name="Y (Position in AU)" queryTableFieldId="3" dataDxfId="26" totalsRowDxfId="25"/>
    <tableColumn id="4" xr3:uid="{6FE23259-B6BB-4FBF-A490-5F6525683255}" uniqueName="4" name="Z (Position in AU)" totalsRowLabel="Average Distance" queryTableFieldId="4" dataDxfId="24" totalsRowDxfId="23"/>
    <tableColumn id="5" xr3:uid="{370C5627-C19B-465F-BBB6-3B63751C1588}" uniqueName="5" name="r (Distance in AU)" totalsRowFunction="custom" queryTableFieldId="5" dataDxfId="22" totalsRowDxfId="21">
      <totalsRowFormula>AVERAGE(dt_28[r (Distance in AU)])</totalsRow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5DEED37-001C-4D28-9F61-51D1DC23BA31}" name="dt_30" displayName="dt_30" ref="A1:E52" tableType="queryTable" totalsRowCount="1" headerRowDxfId="20" dataDxfId="19" totalsRowDxfId="18">
  <autoFilter ref="A1:E51" xr:uid="{D5DEED37-001C-4D28-9F61-51D1DC23BA31}"/>
  <tableColumns count="5">
    <tableColumn id="1" xr3:uid="{545764F8-8BF0-44BA-B9DA-3D6C9B4F6639}" uniqueName="1" name="t (Day)" queryTableFieldId="1" dataDxfId="17" totalsRowDxfId="16"/>
    <tableColumn id="2" xr3:uid="{9B3061D3-3A43-4455-A52E-6EEDF3EE0FEE}" uniqueName="2" name="X (Position in AU)" queryTableFieldId="2" dataDxfId="15" totalsRowDxfId="14"/>
    <tableColumn id="3" xr3:uid="{89B23653-EECB-4F05-A1BE-C04CF494AEAF}" uniqueName="3" name="Y (Position in AU)" queryTableFieldId="3" dataDxfId="13" totalsRowDxfId="12"/>
    <tableColumn id="4" xr3:uid="{C2D5341D-B548-49C0-A6B0-BB924A38DB08}" uniqueName="4" name="Z (Position in AU)" totalsRowLabel="Average Distance" queryTableFieldId="4" dataDxfId="11" totalsRowDxfId="10"/>
    <tableColumn id="5" xr3:uid="{7C6AF950-096B-4B6A-81B4-0C9C7F18F37A}" uniqueName="5" name="r (Distance in AU)" totalsRowFunction="custom" queryTableFieldId="5" dataDxfId="9" totalsRowDxfId="8">
      <totalsRowFormula>AVERAGE(dt_30[r (Distance in AU)])</totalsRow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F5A8E8-D66A-4065-8C28-FBEA693C9E5D}" name="Table1" displayName="Table1" ref="C4:E11" totalsRowShown="0" headerRowDxfId="7" dataDxfId="5" headerRowBorderDxfId="6" tableBorderDxfId="4" totalsRowBorderDxfId="3">
  <autoFilter ref="C4:E11" xr:uid="{E3F5A8E8-D66A-4065-8C28-FBEA693C9E5D}"/>
  <tableColumns count="3">
    <tableColumn id="1" xr3:uid="{74896820-CDCE-4C7F-8EAF-791D4ADC6E63}" name="dt (Hari)" dataDxfId="2"/>
    <tableColumn id="3" xr3:uid="{55BC43EA-9CE1-43CE-8C12-1932563C31DB}" name="Jarak Rata-Rata (AU)" dataDxfId="1">
      <calculatedColumnFormula>dt_30[[#Totals],[r (Distance in AU)]]</calculatedColumnFormula>
    </tableColumn>
    <tableColumn id="2" xr3:uid="{2CFC3B5F-00E4-4966-A7FF-73603B821988}" name="Error %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5C21-6749-4FA1-ACAC-48A60A869547}">
  <dimension ref="A1:E1465"/>
  <sheetViews>
    <sheetView workbookViewId="0">
      <selection activeCell="E2" sqref="E2"/>
    </sheetView>
  </sheetViews>
  <sheetFormatPr defaultColWidth="8.88671875" defaultRowHeight="14.4" x14ac:dyDescent="0.3"/>
  <cols>
    <col min="1" max="1" width="11.44140625" style="1" bestFit="1" customWidth="1"/>
    <col min="2" max="3" width="19" style="1" bestFit="1" customWidth="1"/>
    <col min="4" max="4" width="18.88671875" style="1" bestFit="1" customWidth="1"/>
    <col min="5" max="5" width="21.109375" style="1" bestFit="1" customWidth="1"/>
    <col min="6" max="8" width="8.88671875" style="1"/>
    <col min="9" max="9" width="16.6640625" style="1" bestFit="1" customWidth="1"/>
    <col min="10" max="10" width="16.5546875" style="1" bestFit="1" customWidth="1"/>
    <col min="11" max="11" width="17.88671875" style="1" bestFit="1" customWidth="1"/>
    <col min="12" max="16384" width="8.88671875" style="1"/>
  </cols>
  <sheetData>
    <row r="1" spans="1:5" x14ac:dyDescent="0.3">
      <c r="A1" s="3" t="s">
        <v>6</v>
      </c>
      <c r="B1" t="s">
        <v>5</v>
      </c>
      <c r="C1" t="s">
        <v>4</v>
      </c>
      <c r="D1" t="s">
        <v>3</v>
      </c>
      <c r="E1" s="3" t="s">
        <v>2</v>
      </c>
    </row>
    <row r="2" spans="1:5" x14ac:dyDescent="0.3">
      <c r="A2" s="1">
        <v>1</v>
      </c>
      <c r="B2" s="1">
        <v>-0.53057153611707275</v>
      </c>
      <c r="C2" s="1">
        <v>0.76065220506109288</v>
      </c>
      <c r="D2" s="1">
        <v>0.32973150662251483</v>
      </c>
      <c r="E2" s="2">
        <f>SQRT(horizons_results_fin_use___Copy__2[[#This Row],[X (Position in AU)]]^2+horizons_results_fin_use___Copy__2[[#This Row],[Y (Position in AU)]]^2+horizons_results_fin_use___Copy__2[[#This Row],[Z (Position in AU)]]^2)</f>
        <v>0.98428694924878823</v>
      </c>
    </row>
    <row r="3" spans="1:5" x14ac:dyDescent="0.3">
      <c r="A3" s="1">
        <f>A2+1</f>
        <v>2</v>
      </c>
      <c r="B3" s="1">
        <v>-0.54525901640757612</v>
      </c>
      <c r="C3" s="1">
        <v>0.75196045377142973</v>
      </c>
      <c r="D3" s="1">
        <v>0.32596321197283989</v>
      </c>
      <c r="E3" s="2">
        <f>SQRT(horizons_results_fin_use___Copy__2[[#This Row],[X (Position in AU)]]^2+horizons_results_fin_use___Copy__2[[#This Row],[Y (Position in AU)]]^2+horizons_results_fin_use___Copy__2[[#This Row],[Z (Position in AU)]]^2)</f>
        <v>0.98437997468941962</v>
      </c>
    </row>
    <row r="4" spans="1:5" x14ac:dyDescent="0.3">
      <c r="A4" s="1">
        <f t="shared" ref="A4:A67" si="0">A3+1</f>
        <v>3</v>
      </c>
      <c r="B4" s="1">
        <v>-0.55977566012283775</v>
      </c>
      <c r="C4" s="1">
        <v>0.74303556256400882</v>
      </c>
      <c r="D4" s="1">
        <v>0.32209393037056211</v>
      </c>
      <c r="E4" s="2">
        <f>SQRT(horizons_results_fin_use___Copy__2[[#This Row],[X (Position in AU)]]^2+horizons_results_fin_use___Copy__2[[#This Row],[Y (Position in AU)]]^2+horizons_results_fin_use___Copy__2[[#This Row],[Z (Position in AU)]]^2)</f>
        <v>0.98447708804335732</v>
      </c>
    </row>
    <row r="5" spans="1:5" x14ac:dyDescent="0.3">
      <c r="A5" s="1">
        <f t="shared" si="0"/>
        <v>4</v>
      </c>
      <c r="B5" s="1">
        <v>-0.57411707741550799</v>
      </c>
      <c r="C5" s="1">
        <v>0.73388072477774413</v>
      </c>
      <c r="D5" s="1">
        <v>0.31812508132072359</v>
      </c>
      <c r="E5" s="2">
        <f>SQRT(horizons_results_fin_use___Copy__2[[#This Row],[X (Position in AU)]]^2+horizons_results_fin_use___Copy__2[[#This Row],[Y (Position in AU)]]^2+horizons_results_fin_use___Copy__2[[#This Row],[Z (Position in AU)]]^2)</f>
        <v>0.98457854137988832</v>
      </c>
    </row>
    <row r="6" spans="1:5" x14ac:dyDescent="0.3">
      <c r="A6" s="1">
        <f t="shared" si="0"/>
        <v>5</v>
      </c>
      <c r="B6" s="1">
        <v>-0.58827903853968122</v>
      </c>
      <c r="C6" s="1">
        <v>0.7244991943097534</v>
      </c>
      <c r="D6" s="1">
        <v>0.31405810558842778</v>
      </c>
      <c r="E6" s="2">
        <f>SQRT(horizons_results_fin_use___Copy__2[[#This Row],[X (Position in AU)]]^2+horizons_results_fin_use___Copy__2[[#This Row],[Y (Position in AU)]]^2+horizons_results_fin_use___Copy__2[[#This Row],[Z (Position in AU)]]^2)</f>
        <v>0.98468462130087397</v>
      </c>
    </row>
    <row r="7" spans="1:5" x14ac:dyDescent="0.3">
      <c r="A7" s="1">
        <f t="shared" si="0"/>
        <v>6</v>
      </c>
      <c r="B7" s="1">
        <v>-0.60225747329664947</v>
      </c>
      <c r="C7" s="1">
        <v>0.71489426044616677</v>
      </c>
      <c r="D7" s="1">
        <v>0.30989445180212738</v>
      </c>
      <c r="E7" s="2">
        <f>SQRT(horizons_results_fin_use___Copy__2[[#This Row],[X (Position in AU)]]^2+horizons_results_fin_use___Copy__2[[#This Row],[Y (Position in AU)]]^2+horizons_results_fin_use___Copy__2[[#This Row],[Z (Position in AU)]]^2)</f>
        <v>0.9847956331230745</v>
      </c>
    </row>
    <row r="8" spans="1:5" x14ac:dyDescent="0.3">
      <c r="A8" s="1">
        <f t="shared" si="0"/>
        <v>7</v>
      </c>
      <c r="B8" s="1">
        <v>-0.61604846209305653</v>
      </c>
      <c r="C8" s="1">
        <v>0.70506922155504181</v>
      </c>
      <c r="D8" s="1">
        <v>0.30563556275490211</v>
      </c>
      <c r="E8" s="2">
        <f>SQRT(horizons_results_fin_use___Copy__2[[#This Row],[X (Position in AU)]]^2+horizons_results_fin_use___Copy__2[[#This Row],[Y (Position in AU)]]^2+horizons_results_fin_use___Copy__2[[#This Row],[Z (Position in AU)]]^2)</f>
        <v>0.98491188034867283</v>
      </c>
    </row>
    <row r="9" spans="1:5" x14ac:dyDescent="0.3">
      <c r="A9" s="1">
        <f t="shared" si="0"/>
        <v>8</v>
      </c>
      <c r="B9" s="1">
        <v>-0.62964821692884243</v>
      </c>
      <c r="C9" s="1">
        <v>0.69502736028568479</v>
      </c>
      <c r="D9" s="1">
        <v>0.30128286289362571</v>
      </c>
      <c r="E9" s="2">
        <f>SQRT(horizons_results_fin_use___Copy__2[[#This Row],[X (Position in AU)]]^2+horizons_results_fin_use___Copy__2[[#This Row],[Y (Position in AU)]]^2+horizons_results_fin_use___Copy__2[[#This Row],[Z (Position in AU)]]^2)</f>
        <v>0.98503364008582828</v>
      </c>
    </row>
    <row r="10" spans="1:5" x14ac:dyDescent="0.3">
      <c r="A10" s="1">
        <f t="shared" si="0"/>
        <v>9</v>
      </c>
      <c r="B10" s="1">
        <v>-0.64305305211024311</v>
      </c>
      <c r="C10" s="1">
        <v>0.68477192435683276</v>
      </c>
      <c r="D10" s="1">
        <v>0.2968377492062933</v>
      </c>
      <c r="E10" s="2">
        <f>SQRT(horizons_results_fin_use___Copy__2[[#This Row],[X (Position in AU)]]^2+horizons_results_fin_use___Copy__2[[#This Row],[Y (Position in AU)]]^2+horizons_results_fin_use___Copy__2[[#This Row],[Z (Position in AU)]]^2)</f>
        <v>0.98516113685504125</v>
      </c>
    </row>
    <row r="11" spans="1:5" x14ac:dyDescent="0.3">
      <c r="A11" s="1">
        <f t="shared" si="0"/>
        <v>10</v>
      </c>
      <c r="B11" s="1">
        <v>-0.65625934736258806</v>
      </c>
      <c r="C11" s="1">
        <v>0.67430611754294556</v>
      </c>
      <c r="D11" s="1">
        <v>0.29230158789477301</v>
      </c>
      <c r="E11" s="2">
        <f>SQRT(horizons_results_fin_use___Copy__2[[#This Row],[X (Position in AU)]]^2+horizons_results_fin_use___Copy__2[[#This Row],[Y (Position in AU)]]^2+horizons_results_fin_use___Copy__2[[#This Row],[Z (Position in AU)]]^2)</f>
        <v>0.98529451913750976</v>
      </c>
    </row>
    <row r="12" spans="1:5" x14ac:dyDescent="0.3">
      <c r="A12" s="1">
        <f t="shared" si="0"/>
        <v>11</v>
      </c>
      <c r="B12" s="1">
        <v>-0.66926350926546907</v>
      </c>
      <c r="C12" s="1">
        <v>0.663633104040522</v>
      </c>
      <c r="D12" s="1">
        <v>0.28767571832995997</v>
      </c>
      <c r="E12" s="2">
        <f>SQRT(horizons_results_fin_use___Copy__2[[#This Row],[X (Position in AU)]]^2+horizons_results_fin_use___Copy__2[[#This Row],[Y (Position in AU)]]^2+horizons_results_fin_use___Copy__2[[#This Row],[Z (Position in AU)]]^2)</f>
        <v>0.98543384381167232</v>
      </c>
    </row>
    <row r="13" spans="1:5" x14ac:dyDescent="0.3">
      <c r="A13" s="1">
        <f t="shared" si="0"/>
        <v>12</v>
      </c>
      <c r="B13" s="1">
        <v>-0.68206193861952824</v>
      </c>
      <c r="C13" s="1">
        <v>0.65275602598500082</v>
      </c>
      <c r="D13" s="1">
        <v>0.28296146388409738</v>
      </c>
      <c r="E13" s="2">
        <f>SQRT(horizons_results_fin_use___Copy__2[[#This Row],[X (Position in AU)]]^2+horizons_results_fin_use___Copy__2[[#This Row],[Y (Position in AU)]]^2+horizons_results_fin_use___Copy__2[[#This Row],[Z (Position in AU)]]^2)</f>
        <v>0.98557907222941354</v>
      </c>
    </row>
    <row r="14" spans="1:5" x14ac:dyDescent="0.3">
      <c r="A14" s="1">
        <f t="shared" si="0"/>
        <v>13</v>
      </c>
      <c r="B14" s="1">
        <v>-0.69465101002511087</v>
      </c>
      <c r="C14" s="1">
        <v>0.6416780299769459</v>
      </c>
      <c r="D14" s="1">
        <v>0.27816014717462051</v>
      </c>
      <c r="E14" s="2">
        <f>SQRT(horizons_results_fin_use___Copy__2[[#This Row],[X (Position in AU)]]^2+horizons_results_fin_use___Copy__2[[#This Row],[Y (Position in AU)]]^2+horizons_results_fin_use___Copy__2[[#This Row],[Z (Position in AU)]]^2)</f>
        <v>0.98573007834812854</v>
      </c>
    </row>
    <row r="15" spans="1:5" x14ac:dyDescent="0.3">
      <c r="A15" s="1">
        <f t="shared" si="0"/>
        <v>14</v>
      </c>
      <c r="B15" s="1">
        <v>-0.70702706602840526</v>
      </c>
      <c r="C15" s="1">
        <v>0.63040229618276888</v>
      </c>
      <c r="D15" s="1">
        <v>0.27327310616220268</v>
      </c>
      <c r="E15" s="2">
        <f>SQRT(horizons_results_fin_use___Copy__2[[#This Row],[X (Position in AU)]]^2+horizons_results_fin_use___Copy__2[[#This Row],[Y (Position in AU)]]^2+horizons_results_fin_use___Copy__2[[#This Row],[Z (Position in AU)]]^2)</f>
        <v>0.98588666573840056</v>
      </c>
    </row>
    <row r="16" spans="1:5" x14ac:dyDescent="0.3">
      <c r="A16" s="1">
        <f t="shared" si="0"/>
        <v>15</v>
      </c>
      <c r="B16" s="1">
        <v>-0.71918642380037834</v>
      </c>
      <c r="C16" s="1">
        <v>0.6189320639990441</v>
      </c>
      <c r="D16" s="1">
        <v>0.26830170793640351</v>
      </c>
      <c r="E16" s="2">
        <f>SQRT(horizons_results_fin_use___Copy__2[[#This Row],[X (Position in AU)]]^2+horizons_results_fin_use___Copy__2[[#This Row],[Y (Position in AU)]]^2+horizons_results_fin_use___Copy__2[[#This Row],[Z (Position in AU)]]^2)</f>
        <v>0.98604858830915898</v>
      </c>
    </row>
    <row r="17" spans="1:5" x14ac:dyDescent="0.3">
      <c r="A17" s="1">
        <f t="shared" si="0"/>
        <v>16</v>
      </c>
      <c r="B17" s="1">
        <v>-0.73112538959842654</v>
      </c>
      <c r="C17" s="1">
        <v>0.60727065074153164</v>
      </c>
      <c r="D17" s="1">
        <v>0.26324735845555319</v>
      </c>
      <c r="E17" s="2">
        <f>SQRT(horizons_results_fin_use___Copy__2[[#This Row],[X (Position in AU)]]^2+horizons_results_fin_use___Copy__2[[#This Row],[Y (Position in AU)]]^2+horizons_results_fin_use___Copy__2[[#This Row],[Z (Position in AU)]]^2)</f>
        <v>0.98621556989398662</v>
      </c>
    </row>
    <row r="18" spans="1:5" x14ac:dyDescent="0.3">
      <c r="A18" s="1">
        <f t="shared" si="0"/>
        <v>17</v>
      </c>
      <c r="B18" s="1">
        <v>-0.74284027591828461</v>
      </c>
      <c r="C18" s="1">
        <v>0.59542146272084551</v>
      </c>
      <c r="D18" s="1">
        <v>0.25811150808426397</v>
      </c>
      <c r="E18" s="2">
        <f>SQRT(horizons_results_fin_use___Copy__2[[#This Row],[X (Position in AU)]]^2+horizons_results_fin_use___Copy__2[[#This Row],[Y (Position in AU)]]^2+horizons_results_fin_use___Copy__2[[#This Row],[Z (Position in AU)]]^2)</f>
        <v>0.98638731966733917</v>
      </c>
    </row>
    <row r="19" spans="1:5" x14ac:dyDescent="0.3">
      <c r="A19" s="1">
        <f t="shared" si="0"/>
        <v>18</v>
      </c>
      <c r="B19" s="1">
        <v>-0.75432741756188015</v>
      </c>
      <c r="C19" s="1">
        <v>0.58338800012666858</v>
      </c>
      <c r="D19" s="1">
        <v>0.25289565383398149</v>
      </c>
      <c r="E19" s="2">
        <f>SQRT(horizons_results_fin_use___Copy__2[[#This Row],[X (Position in AU)]]^2+horizons_results_fin_use___Copy__2[[#This Row],[Y (Position in AU)]]^2+horizons_results_fin_use___Copy__2[[#This Row],[Z (Position in AU)]]^2)</f>
        <v>0.98656354245709188</v>
      </c>
    </row>
    <row r="20" spans="1:5" x14ac:dyDescent="0.3">
      <c r="A20" s="1">
        <f t="shared" si="0"/>
        <v>19</v>
      </c>
      <c r="B20" s="1">
        <v>-0.76558318468191311</v>
      </c>
      <c r="C20" s="1">
        <v>0.57117385800635401</v>
      </c>
      <c r="D20" s="1">
        <v>0.24760133961008299</v>
      </c>
      <c r="E20" s="2">
        <f>SQRT(horizons_results_fin_use___Copy__2[[#This Row],[X (Position in AU)]]^2+horizons_results_fin_use___Copy__2[[#This Row],[Y (Position in AU)]]^2+horizons_results_fin_use___Copy__2[[#This Row],[Z (Position in AU)]]^2)</f>
        <v>0.98674394455414349</v>
      </c>
    </row>
    <row r="21" spans="1:5" x14ac:dyDescent="0.3">
      <c r="A21" s="1">
        <f t="shared" si="0"/>
        <v>20</v>
      </c>
      <c r="B21" s="1">
        <v>-0.77660399243234024</v>
      </c>
      <c r="C21" s="1">
        <v>0.55878272558645437</v>
      </c>
      <c r="D21" s="1">
        <v>0.24223015569097531</v>
      </c>
      <c r="E21" s="2">
        <f>SQRT(horizons_results_fin_use___Copy__2[[#This Row],[X (Position in AU)]]^2+horizons_results_fin_use___Copy__2[[#This Row],[Y (Position in AU)]]^2+horizons_results_fin_use___Copy__2[[#This Row],[Z (Position in AU)]]^2)</f>
        <v>0.98692823639905614</v>
      </c>
    </row>
    <row r="22" spans="1:5" x14ac:dyDescent="0.3">
      <c r="A22" s="1">
        <f t="shared" si="0"/>
        <v>21</v>
      </c>
      <c r="B22" s="1">
        <v>-0.78738630790241182</v>
      </c>
      <c r="C22" s="1">
        <v>0.54621838569798609</v>
      </c>
      <c r="D22" s="1">
        <v>0.23678373836288211</v>
      </c>
      <c r="E22" s="2">
        <f>SQRT(horizons_results_fin_use___Copy__2[[#This Row],[X (Position in AU)]]^2+horizons_results_fin_use___Copy__2[[#This Row],[Y (Position in AU)]]^2+horizons_results_fin_use___Copy__2[[#This Row],[Z (Position in AU)]]^2)</f>
        <v>0.98711613374506624</v>
      </c>
    </row>
    <row r="23" spans="1:5" x14ac:dyDescent="0.3">
      <c r="A23" s="1">
        <f t="shared" si="0"/>
        <v>22</v>
      </c>
      <c r="B23" s="1">
        <v>-0.79792665561241427</v>
      </c>
      <c r="C23" s="1">
        <v>0.53348471543949694</v>
      </c>
      <c r="D23" s="1">
        <v>0.2312637702736926</v>
      </c>
      <c r="E23" s="2">
        <f>SQRT(horizons_results_fin_use___Copy__2[[#This Row],[X (Position in AU)]]^2+horizons_results_fin_use___Copy__2[[#This Row],[Y (Position in AU)]]^2+horizons_results_fin_use___Copy__2[[#This Row],[Z (Position in AU)]]^2)</f>
        <v>0.98730735882276122</v>
      </c>
    </row>
    <row r="24" spans="1:5" x14ac:dyDescent="0.3">
      <c r="A24" s="1">
        <f t="shared" si="0"/>
        <v>23</v>
      </c>
      <c r="B24" s="1">
        <v>-0.80822162315194102</v>
      </c>
      <c r="C24" s="1">
        <v>0.52058568856455678</v>
      </c>
      <c r="D24" s="1">
        <v>0.22567198170865579</v>
      </c>
      <c r="E24" s="2">
        <f>SQRT(horizons_results_fin_use___Copy__2[[#This Row],[X (Position in AU)]]^2+horizons_results_fin_use___Copy__2[[#This Row],[Y (Position in AU)]]^2+horizons_results_fin_use___Copy__2[[#This Row],[Z (Position in AU)]]^2)</f>
        <v>0.98750164283250874</v>
      </c>
    </row>
    <row r="25" spans="1:5" x14ac:dyDescent="0.3">
      <c r="A25" s="1">
        <f t="shared" si="0"/>
        <v>24</v>
      </c>
      <c r="B25" s="1">
        <v>-0.81826786862685996</v>
      </c>
      <c r="C25" s="1">
        <v>0.50752537940793951</v>
      </c>
      <c r="D25" s="1">
        <v>0.22001015262463319</v>
      </c>
      <c r="E25" s="2">
        <f>SQRT(horizons_results_fin_use___Copy__2[[#This Row],[X (Position in AU)]]^2+horizons_results_fin_use___Copy__2[[#This Row],[Y (Position in AU)]]^2+horizons_results_fin_use___Copy__2[[#This Row],[Z (Position in AU)]]^2)</f>
        <v>0.98769873080217707</v>
      </c>
    </row>
    <row r="26" spans="1:5" x14ac:dyDescent="0.3">
      <c r="A26" s="1">
        <f t="shared" si="0"/>
        <v>25</v>
      </c>
      <c r="B26" s="1">
        <v>-0.82806213141447871</v>
      </c>
      <c r="C26" s="1">
        <v>0.49430796744324168</v>
      </c>
      <c r="D26" s="1">
        <v>0.2142801148964551</v>
      </c>
      <c r="E26" s="2">
        <f>SQRT(horizons_results_fin_use___Copy__2[[#This Row],[X (Position in AU)]]^2+horizons_results_fin_use___Copy__2[[#This Row],[Y (Position in AU)]]^2+horizons_results_fin_use___Copy__2[[#This Row],[Z (Position in AU)]]^2)</f>
        <v>0.98789838941087271</v>
      </c>
    </row>
    <row r="27" spans="1:5" x14ac:dyDescent="0.3">
      <c r="A27" s="1">
        <f t="shared" si="0"/>
        <v>26</v>
      </c>
      <c r="B27" s="1">
        <v>-0.83760124719174101</v>
      </c>
      <c r="C27" s="1">
        <v>0.48093774084487911</v>
      </c>
      <c r="D27" s="1">
        <v>0.20848375386061549</v>
      </c>
      <c r="E27" s="2">
        <f>SQRT(horizons_results_fin_use___Copy__2[[#This Row],[X (Position in AU)]]^2+horizons_results_fin_use___Copy__2[[#This Row],[Y (Position in AU)]]^2+horizons_results_fin_use___Copy__2[[#This Row],[Z (Position in AU)]]^2)</f>
        <v>0.98810041771570456</v>
      </c>
    </row>
    <row r="28" spans="1:5" x14ac:dyDescent="0.3">
      <c r="A28" s="1">
        <f t="shared" si="0"/>
        <v>27</v>
      </c>
      <c r="B28" s="1">
        <v>-0.84688216720697795</v>
      </c>
      <c r="C28" s="1">
        <v>0.46741909689442451</v>
      </c>
      <c r="D28" s="1">
        <v>0.20262300799156649</v>
      </c>
      <c r="E28" s="2">
        <f>SQRT(horizons_results_fin_use___Copy__2[[#This Row],[X (Position in AU)]]^2+horizons_results_fin_use___Copy__2[[#This Row],[Y (Position in AU)]]^2+horizons_results_fin_use___Copy__2[[#This Row],[Z (Position in AU)]]^2)</f>
        <v>0.98830465983032656</v>
      </c>
    </row>
    <row r="29" spans="1:5" x14ac:dyDescent="0.3">
      <c r="A29" s="1">
        <f t="shared" si="0"/>
        <v>28</v>
      </c>
      <c r="B29" s="1">
        <v>-0.85590198039740761</v>
      </c>
      <c r="C29" s="1">
        <v>0.45375653701775009</v>
      </c>
      <c r="D29" s="1">
        <v>0.19669986556900651</v>
      </c>
      <c r="E29" s="2">
        <f>SQRT(horizons_results_fin_use___Copy__2[[#This Row],[X (Position in AU)]]^2+horizons_results_fin_use___Copy__2[[#This Row],[Y (Position in AU)]]^2+horizons_results_fin_use___Copy__2[[#This Row],[Z (Position in AU)]]^2)</f>
        <v>0.9885110176671833</v>
      </c>
    </row>
    <row r="30" spans="1:5" x14ac:dyDescent="0.3">
      <c r="A30" s="1">
        <f t="shared" si="0"/>
        <v>29</v>
      </c>
      <c r="B30" s="1">
        <v>-0.86465793558306436</v>
      </c>
      <c r="C30" s="1">
        <v>0.43995465491122082</v>
      </c>
      <c r="D30" s="1">
        <v>0.19071635760940231</v>
      </c>
      <c r="E30" s="2">
        <f>SQRT(horizons_results_fin_use___Copy__2[[#This Row],[X (Position in AU)]]^2+horizons_results_fin_use___Copy__2[[#This Row],[Y (Position in AU)]]^2+horizons_results_fin_use___Copy__2[[#This Row],[Z (Position in AU)]]^2)</f>
        <v>0.98871946122477805</v>
      </c>
    </row>
    <row r="31" spans="1:5" x14ac:dyDescent="0.3">
      <c r="A31" s="1">
        <f t="shared" si="0"/>
        <v>30</v>
      </c>
      <c r="B31" s="1">
        <v>-0.87314746016714651</v>
      </c>
      <c r="C31" s="1">
        <v>0.42601811758057118</v>
      </c>
      <c r="D31" s="1">
        <v>0.1846745471026264</v>
      </c>
      <c r="E31" s="2">
        <f>SQRT(horizons_results_fin_use___Copy__2[[#This Row],[X (Position in AU)]]^2+horizons_results_fin_use___Copy__2[[#This Row],[Y (Position in AU)]]^2+horizons_results_fin_use___Copy__2[[#This Row],[Z (Position in AU)]]^2)</f>
        <v>0.9889300339512358</v>
      </c>
    </row>
    <row r="32" spans="1:5" x14ac:dyDescent="0.3">
      <c r="A32" s="1">
        <f t="shared" si="0"/>
        <v>31</v>
      </c>
      <c r="B32" s="1">
        <v>-0.88136817200030126</v>
      </c>
      <c r="C32" s="1">
        <v>0.41195164074514701</v>
      </c>
      <c r="D32" s="1">
        <v>0.17857651546551651</v>
      </c>
      <c r="E32" s="2">
        <f>SQRT(horizons_results_fin_use___Copy__2[[#This Row],[X (Position in AU)]]^2+horizons_results_fin_use___Copy__2[[#This Row],[Y (Position in AU)]]^2+horizons_results_fin_use___Copy__2[[#This Row],[Z (Position in AU)]]^2)</f>
        <v>0.98914285156572668</v>
      </c>
    </row>
    <row r="33" spans="1:5" x14ac:dyDescent="0.3">
      <c r="A33" s="1">
        <f t="shared" si="0"/>
        <v>32</v>
      </c>
      <c r="B33" s="1">
        <v>-0.88931788229876907</v>
      </c>
      <c r="C33" s="1">
        <v>0.39775996130066849</v>
      </c>
      <c r="D33" s="1">
        <v>0.17242434774713389</v>
      </c>
      <c r="E33" s="2">
        <f>SQRT(horizons_results_fin_use___Copy__2[[#This Row],[X (Position in AU)]]^2+horizons_results_fin_use___Copy__2[[#This Row],[Y (Position in AU)]]^2+horizons_results_fin_use___Copy__2[[#This Row],[Z (Position in AU)]]^2)</f>
        <v>0.98935809406215558</v>
      </c>
    </row>
    <row r="34" spans="1:5" x14ac:dyDescent="0.3">
      <c r="A34" s="1">
        <f t="shared" si="0"/>
        <v>33</v>
      </c>
      <c r="B34" s="1">
        <v>-0.89699458918112684</v>
      </c>
      <c r="C34" s="1">
        <v>0.38344780992474892</v>
      </c>
      <c r="D34" s="1">
        <v>0.16622011826804309</v>
      </c>
      <c r="E34" s="2">
        <f>SQRT(horizons_results_fin_use___Copy__2[[#This Row],[X (Position in AU)]]^2+horizons_results_fin_use___Copy__2[[#This Row],[Y (Position in AU)]]^2+horizons_results_fin_use___Copy__2[[#This Row],[Z (Position in AU)]]^2)</f>
        <v>0.98957599186386236</v>
      </c>
    </row>
    <row r="35" spans="1:5" x14ac:dyDescent="0.3">
      <c r="A35" s="1">
        <f t="shared" si="0"/>
        <v>34</v>
      </c>
      <c r="B35" s="1">
        <v>-0.90439646277317343</v>
      </c>
      <c r="C35" s="1">
        <v>0.36901988649398482</v>
      </c>
      <c r="D35" s="1">
        <v>0.15996587809904511</v>
      </c>
      <c r="E35" s="2">
        <f>SQRT(horizons_results_fin_use___Copy__2[[#This Row],[X (Position in AU)]]^2+horizons_results_fin_use___Copy__2[[#This Row],[Y (Position in AU)]]^2+horizons_results_fin_use___Copy__2[[#This Row],[Z (Position in AU)]]^2)</f>
        <v>0.98979680776443202</v>
      </c>
    </row>
    <row r="36" spans="1:5" x14ac:dyDescent="0.3">
      <c r="A36" s="1">
        <f t="shared" si="0"/>
        <v>35</v>
      </c>
      <c r="B36" s="1">
        <v>-0.91152182352910882</v>
      </c>
      <c r="C36" s="1">
        <v>0.35448084022873733</v>
      </c>
      <c r="D36" s="1">
        <v>0.1536636453517731</v>
      </c>
      <c r="E36" s="2">
        <f>SQRT(horizons_results_fin_use___Copy__2[[#This Row],[X (Position in AU)]]^2+horizons_results_fin_use___Copy__2[[#This Row],[Y (Position in AU)]]^2+horizons_results_fin_use___Copy__2[[#This Row],[Z (Position in AU)]]^2)</f>
        <v>0.99002081632756533</v>
      </c>
    </row>
    <row r="37" spans="1:5" x14ac:dyDescent="0.3">
      <c r="A37" s="1">
        <f t="shared" si="0"/>
        <v>36</v>
      </c>
      <c r="B37" s="1">
        <v>-0.91836911558266721</v>
      </c>
      <c r="C37" s="1">
        <v>0.33983525589246572</v>
      </c>
      <c r="D37" s="1">
        <v>0.14731539892887571</v>
      </c>
      <c r="E37" s="2">
        <f>SQRT(horizons_results_fin_use___Copy__2[[#This Row],[X (Position in AU)]]^2+horizons_results_fin_use___Copy__2[[#This Row],[Y (Position in AU)]]^2+horizons_results_fin_use___Copy__2[[#This Row],[Z (Position in AU)]]^2)</f>
        <v>0.9902482821823837</v>
      </c>
    </row>
    <row r="38" spans="1:5" x14ac:dyDescent="0.3">
      <c r="A38" s="1">
        <f t="shared" si="0"/>
        <v>37</v>
      </c>
      <c r="B38" s="1">
        <v>-0.9249368770564047</v>
      </c>
      <c r="C38" s="1">
        <v>0.3250876471067235</v>
      </c>
      <c r="D38" s="1">
        <v>0.1409230762332517</v>
      </c>
      <c r="E38" s="2">
        <f>SQRT(horizons_results_fin_use___Copy__2[[#This Row],[X (Position in AU)]]^2+horizons_results_fin_use___Copy__2[[#This Row],[Y (Position in AU)]]^2+horizons_results_fin_use___Copy__2[[#This Row],[Z (Position in AU)]]^2)</f>
        <v>0.99047943858279219</v>
      </c>
    </row>
    <row r="39" spans="1:5" x14ac:dyDescent="0.3">
      <c r="A39" s="1">
        <f t="shared" si="0"/>
        <v>38</v>
      </c>
      <c r="B39" s="1">
        <v>-0.93122370969090185</v>
      </c>
      <c r="C39" s="1">
        <v>0.3102424576397676</v>
      </c>
      <c r="D39" s="1">
        <v>0.13448857520909491</v>
      </c>
      <c r="E39" s="2">
        <f>SQRT(horizons_results_fin_use___Copy__2[[#This Row],[X (Position in AU)]]^2+horizons_results_fin_use___Copy__2[[#This Row],[Y (Position in AU)]]^2+horizons_results_fin_use___Copy__2[[#This Row],[Z (Position in AU)]]^2)</f>
        <v>0.99071446788397133</v>
      </c>
    </row>
    <row r="40" spans="1:5" x14ac:dyDescent="0.3">
      <c r="A40" s="1">
        <f t="shared" si="0"/>
        <v>39</v>
      </c>
      <c r="B40" s="1">
        <v>-0.93722825082754302</v>
      </c>
      <c r="C40" s="1">
        <v>0.29530407094604239</v>
      </c>
      <c r="D40" s="1">
        <v>0.12801376074796569</v>
      </c>
      <c r="E40" s="2">
        <f>SQRT(horizons_results_fin_use___Copy__2[[#This Row],[X (Position in AU)]]^2+horizons_results_fin_use___Copy__2[[#This Row],[Y (Position in AU)]]^2+horizons_results_fin_use___Copy__2[[#This Row],[Z (Position in AU)]]^2)</f>
        <v>0.99095348599588595</v>
      </c>
    </row>
    <row r="41" spans="1:5" x14ac:dyDescent="0.3">
      <c r="A41" s="1">
        <f t="shared" si="0"/>
        <v>40</v>
      </c>
      <c r="B41" s="1">
        <v>-0.94294915115423028</v>
      </c>
      <c r="C41" s="1">
        <v>0.28027682705566681</v>
      </c>
      <c r="D41" s="1">
        <v>0.12150047484249681</v>
      </c>
      <c r="E41" s="2">
        <f>SQRT(horizons_results_fin_use___Copy__2[[#This Row],[X (Position in AU)]]^2+horizons_results_fin_use___Copy__2[[#This Row],[Y (Position in AU)]]^2+horizons_results_fin_use___Copy__2[[#This Row],[Z (Position in AU)]]^2)</f>
        <v>0.9911965329004272</v>
      </c>
    </row>
    <row r="42" spans="1:5" x14ac:dyDescent="0.3">
      <c r="A42" s="1">
        <f t="shared" si="0"/>
        <v>41</v>
      </c>
      <c r="B42" s="1">
        <v>-0.94838506109170762</v>
      </c>
      <c r="C42" s="1">
        <v>0.26516504441911598</v>
      </c>
      <c r="D42" s="1">
        <v>0.1149505490841117</v>
      </c>
      <c r="E42" s="2">
        <f>SQRT(horizons_results_fin_use___Copy__2[[#This Row],[X (Position in AU)]]^2+horizons_results_fin_use___Copy__2[[#This Row],[Y (Position in AU)]]^2+horizons_results_fin_use___Copy__2[[#This Row],[Z (Position in AU)]]^2)</f>
        <v>0.99144357056690446</v>
      </c>
    </row>
    <row r="43" spans="1:5" x14ac:dyDescent="0.3">
      <c r="A43" s="1">
        <f t="shared" si="0"/>
        <v>42</v>
      </c>
      <c r="B43" s="1">
        <v>-0.9535346270970495</v>
      </c>
      <c r="C43" s="1">
        <v>0.2499730431917801</v>
      </c>
      <c r="D43" s="1">
        <v>0.1083658175575066</v>
      </c>
      <c r="E43" s="2">
        <f>SQRT(horizons_results_fin_use___Copy__2[[#This Row],[X (Position in AU)]]^2+horizons_results_fin_use___Copy__2[[#This Row],[Y (Position in AU)]]^2+horizons_results_fin_use___Copy__2[[#This Row],[Z (Position in AU)]]^2)</f>
        <v>0.99169448814167338</v>
      </c>
    </row>
    <row r="44" spans="1:5" x14ac:dyDescent="0.3">
      <c r="A44" s="1">
        <f t="shared" si="0"/>
        <v>43</v>
      </c>
      <c r="B44" s="1">
        <v>-0.95839649701528418</v>
      </c>
      <c r="C44" s="1">
        <v>0.23470516632611449</v>
      </c>
      <c r="D44" s="1">
        <v>0.101748128203664</v>
      </c>
      <c r="E44" s="2">
        <f>SQRT(horizons_results_fin_use___Copy__2[[#This Row],[X (Position in AU)]]^2+horizons_results_fin_use___Copy__2[[#This Row],[Y (Position in AU)]]^2+horizons_results_fin_use___Copy__2[[#This Row],[Z (Position in AU)]]^2)</f>
        <v>0.99194911269897601</v>
      </c>
    </row>
    <row r="45" spans="1:5" x14ac:dyDescent="0.3">
      <c r="A45" s="1">
        <f t="shared" si="0"/>
        <v>44</v>
      </c>
      <c r="B45" s="1">
        <v>-0.96296933182226385</v>
      </c>
      <c r="C45" s="1">
        <v>0.2193657958267968</v>
      </c>
      <c r="D45" s="1">
        <v>9.5099351324844802E-2</v>
      </c>
      <c r="E45" s="2">
        <f>SQRT(horizons_results_fin_use___Copy__2[[#This Row],[X (Position in AU)]]^2+horizons_results_fin_use___Copy__2[[#This Row],[Y (Position in AU)]]^2+horizons_results_fin_use___Copy__2[[#This Row],[Z (Position in AU)]]^2)</f>
        <v>0.99220722282764484</v>
      </c>
    </row>
    <row r="46" spans="1:5" x14ac:dyDescent="0.3">
      <c r="A46" s="1">
        <f t="shared" si="0"/>
        <v>45</v>
      </c>
      <c r="B46" s="1">
        <v>-0.96725182034466084</v>
      </c>
      <c r="C46" s="1">
        <v>0.2039593631327983</v>
      </c>
      <c r="D46" s="1">
        <v>8.8421384802367303E-2</v>
      </c>
      <c r="E46" s="2">
        <f>SQRT(horizons_results_fin_use___Copy__2[[#This Row],[X (Position in AU)]]^2+horizons_results_fin_use___Copy__2[[#This Row],[Y (Position in AU)]]^2+horizons_results_fin_use___Copy__2[[#This Row],[Z (Position in AU)]]^2)</f>
        <v>0.99246856225271185</v>
      </c>
    </row>
    <row r="47" spans="1:5" x14ac:dyDescent="0.3">
      <c r="A47" s="1">
        <f t="shared" si="0"/>
        <v>46</v>
      </c>
      <c r="B47" s="1">
        <v>-0.97124269389068807</v>
      </c>
      <c r="C47" s="1">
        <v>0.18849035412522419</v>
      </c>
      <c r="D47" s="1">
        <v>8.1716156413345759E-2</v>
      </c>
      <c r="E47" s="2">
        <f>SQRT(horizons_results_fin_use___Copy__2[[#This Row],[X (Position in AU)]]^2+horizons_results_fin_use___Copy__2[[#This Row],[Y (Position in AU)]]^2+horizons_results_fin_use___Copy__2[[#This Row],[Z (Position in AU)]]^2)</f>
        <v>0.99273285140226097</v>
      </c>
    </row>
    <row r="48" spans="1:5" x14ac:dyDescent="0.3">
      <c r="A48" s="1">
        <f t="shared" si="0"/>
        <v>47</v>
      </c>
      <c r="B48" s="1">
        <v>-0.97494073876457465</v>
      </c>
      <c r="C48" s="1">
        <v>0.1729633102470251</v>
      </c>
      <c r="D48" s="1">
        <v>7.4985624125764871E-2</v>
      </c>
      <c r="E48" s="2">
        <f>SQRT(horizons_results_fin_use___Copy__2[[#This Row],[X (Position in AU)]]^2+horizons_results_fin_use___Copy__2[[#This Row],[Y (Position in AU)]]^2+horizons_results_fin_use___Copy__2[[#This Row],[Z (Position in AU)]]^2)</f>
        <v>0.99299979588112386</v>
      </c>
    </row>
    <row r="49" spans="1:5" x14ac:dyDescent="0.3">
      <c r="A49" s="1">
        <f t="shared" si="0"/>
        <v>48</v>
      </c>
      <c r="B49" s="1">
        <v>-0.97834480584423733</v>
      </c>
      <c r="C49" s="1">
        <v>0.15738282756406699</v>
      </c>
      <c r="D49" s="1">
        <v>6.8231775390477589E-2</v>
      </c>
      <c r="E49" s="2">
        <f>SQRT(horizons_results_fin_use___Copy__2[[#This Row],[X (Position in AU)]]^2+horizons_results_fin_use___Copy__2[[#This Row],[Y (Position in AU)]]^2+horizons_results_fin_use___Copy__2[[#This Row],[Z (Position in AU)]]^2)</f>
        <v>0.99326909179103917</v>
      </c>
    </row>
    <row r="50" spans="1:5" x14ac:dyDescent="0.3">
      <c r="A50" s="1">
        <f t="shared" si="0"/>
        <v>49</v>
      </c>
      <c r="B50" s="1">
        <v>-0.98145381742716509</v>
      </c>
      <c r="C50" s="1">
        <v>0.1417535554592021</v>
      </c>
      <c r="D50" s="1">
        <v>6.1456626335048913E-2</v>
      </c>
      <c r="E50" s="2">
        <f>SQRT(horizons_results_fin_use___Copy__2[[#This Row],[X (Position in AU)]]^2+horizons_results_fin_use___Copy__2[[#This Row],[Y (Position in AU)]]^2+horizons_results_fin_use___Copy__2[[#This Row],[Z (Position in AU)]]^2)</f>
        <v>0.9935404285423749</v>
      </c>
    </row>
    <row r="51" spans="1:5" x14ac:dyDescent="0.3">
      <c r="A51" s="1">
        <f t="shared" si="0"/>
        <v>50</v>
      </c>
      <c r="B51" s="1">
        <v>-0.98426677228756543</v>
      </c>
      <c r="C51" s="1">
        <v>0.12608019624935921</v>
      </c>
      <c r="D51" s="1">
        <v>5.4662221519324622E-2</v>
      </c>
      <c r="E51" s="2">
        <f>SQRT(horizons_results_fin_use___Copy__2[[#This Row],[X (Position in AU)]]^2+horizons_results_fin_use___Copy__2[[#This Row],[Y (Position in AU)]]^2+horizons_results_fin_use___Copy__2[[#This Row],[Z (Position in AU)]]^2)</f>
        <v>0.9938134902370197</v>
      </c>
    </row>
    <row r="52" spans="1:5" x14ac:dyDescent="0.3">
      <c r="A52" s="1">
        <f t="shared" si="0"/>
        <v>51</v>
      </c>
      <c r="B52" s="1">
        <v>-0.98678275038004271</v>
      </c>
      <c r="C52" s="1">
        <v>0.11036750648754851</v>
      </c>
      <c r="D52" s="1">
        <v>4.785063460875378E-2</v>
      </c>
      <c r="E52" s="2">
        <f>SQRT(horizons_results_fin_use___Copy__2[[#This Row],[X (Position in AU)]]^2+horizons_results_fin_use___Copy__2[[#This Row],[Y (Position in AU)]]^2+horizons_results_fin_use___Copy__2[[#This Row],[Z (Position in AU)]]^2)</f>
        <v>0.99408795695770358</v>
      </c>
    </row>
    <row r="53" spans="1:5" x14ac:dyDescent="0.3">
      <c r="A53" s="1">
        <f t="shared" si="0"/>
        <v>52</v>
      </c>
      <c r="B53" s="1">
        <v>-0.98900091893107711</v>
      </c>
      <c r="C53" s="1">
        <v>9.462030008168508E-2</v>
      </c>
      <c r="D53" s="1">
        <v>4.1023969969950357E-2</v>
      </c>
      <c r="E53" s="2">
        <f>SQRT(horizons_results_fin_use___Copy__2[[#This Row],[X (Position in AU)]]^2+horizons_results_fin_use___Copy__2[[#This Row],[Y (Position in AU)]]^2+horizons_results_fin_use___Copy__2[[#This Row],[Z (Position in AU)]]^2)</f>
        <v>0.9943635074489402</v>
      </c>
    </row>
    <row r="54" spans="1:5" x14ac:dyDescent="0.3">
      <c r="A54" s="1">
        <f t="shared" si="0"/>
        <v>53</v>
      </c>
      <c r="B54" s="1">
        <v>-0.99092054175356303</v>
      </c>
      <c r="C54" s="1">
        <v>7.8843452585333915E-2</v>
      </c>
      <c r="D54" s="1">
        <v>3.4184364770578748E-2</v>
      </c>
      <c r="E54" s="2">
        <f>SQRT(horizons_results_fin_use___Copy__2[[#This Row],[X (Position in AU)]]^2+horizons_results_fin_use___Copy__2[[#This Row],[Y (Position in AU)]]^2+horizons_results_fin_use___Copy__2[[#This Row],[Z (Position in AU)]]^2)</f>
        <v>0.99463982470013668</v>
      </c>
    </row>
    <row r="55" spans="1:5" x14ac:dyDescent="0.3">
      <c r="A55" s="1">
        <f t="shared" si="0"/>
        <v>54</v>
      </c>
      <c r="B55" s="1">
        <v>-0.99254099334003743</v>
      </c>
      <c r="C55" s="1">
        <v>6.3041905071338084E-2</v>
      </c>
      <c r="D55" s="1">
        <v>2.73339906675788E-2</v>
      </c>
      <c r="E55" s="2">
        <f>SQRT(horizons_results_fin_use___Copy__2[[#This Row],[X (Position in AU)]]^2+horizons_results_fin_use___Copy__2[[#This Row],[Y (Position in AU)]]^2+horizons_results_fin_use___Copy__2[[#This Row],[Z (Position in AU)]]^2)</f>
        <v>0.99491660570183826</v>
      </c>
    </row>
    <row r="56" spans="1:5" x14ac:dyDescent="0.3">
      <c r="A56" s="1">
        <f t="shared" si="0"/>
        <v>55</v>
      </c>
      <c r="B56" s="1">
        <v>-0.99386177837603218</v>
      </c>
      <c r="C56" s="1">
        <v>4.7220665021257317E-2</v>
      </c>
      <c r="D56" s="1">
        <v>2.0475053675976771E-2</v>
      </c>
      <c r="E56" s="2">
        <f>SQRT(horizons_results_fin_use___Copy__2[[#This Row],[X (Position in AU)]]^2+horizons_results_fin_use___Copy__2[[#This Row],[Y (Position in AU)]]^2+horizons_results_fin_use___Copy__2[[#This Row],[Z (Position in AU)]]^2)</f>
        <v>0.99519357591618995</v>
      </c>
    </row>
    <row r="57" spans="1:5" x14ac:dyDescent="0.3">
      <c r="A57" s="1">
        <f t="shared" si="0"/>
        <v>56</v>
      </c>
      <c r="B57" s="1">
        <v>-0.99488255558542948</v>
      </c>
      <c r="C57" s="1">
        <v>3.1384801049971628E-2</v>
      </c>
      <c r="D57" s="1">
        <v>1.3609790546673771E-2</v>
      </c>
      <c r="E57" s="2">
        <f>SQRT(horizons_results_fin_use___Copy__2[[#This Row],[X (Position in AU)]]^2+horizons_results_fin_use___Copy__2[[#This Row],[Y (Position in AU)]]^2+horizons_results_fin_use___Copy__2[[#This Row],[Z (Position in AU)]]^2)</f>
        <v>0.99547050762132872</v>
      </c>
    </row>
    <row r="58" spans="1:5" x14ac:dyDescent="0.3">
      <c r="A58" s="1">
        <f t="shared" si="0"/>
        <v>57</v>
      </c>
      <c r="B58" s="1">
        <v>-0.99560316249612768</v>
      </c>
      <c r="C58" s="1">
        <v>1.553942865196031E-2</v>
      </c>
      <c r="D58" s="1">
        <v>6.7404602692039918E-3</v>
      </c>
      <c r="E58" s="2">
        <f>SQRT(horizons_results_fin_use___Copy__2[[#This Row],[X (Position in AU)]]^2+horizons_results_fin_use___Copy__2[[#This Row],[Y (Position in AU)]]^2+horizons_results_fin_use___Copy__2[[#This Row],[Z (Position in AU)]]^2)</f>
        <v>0.99574723942362042</v>
      </c>
    </row>
    <row r="59" spans="1:5" x14ac:dyDescent="0.3">
      <c r="A59" s="1">
        <f t="shared" si="0"/>
        <v>58</v>
      </c>
      <c r="B59" s="1">
        <v>-0.99602363567675756</v>
      </c>
      <c r="C59" s="1">
        <v>-3.1031402318026078E-4</v>
      </c>
      <c r="D59" s="1">
        <v>-1.306696244779775E-4</v>
      </c>
      <c r="E59" s="2">
        <f>SQRT(horizons_results_fin_use___Copy__2[[#This Row],[X (Position in AU)]]^2+horizons_results_fin_use___Copy__2[[#This Row],[Y (Position in AU)]]^2+horizons_results_fin_use___Copy__2[[#This Row],[Z (Position in AU)]]^2)</f>
        <v>0.99602369258772661</v>
      </c>
    </row>
    <row r="60" spans="1:5" x14ac:dyDescent="0.3">
      <c r="A60" s="1">
        <f t="shared" si="0"/>
        <v>59</v>
      </c>
      <c r="B60" s="1">
        <v>-0.99614422055521612</v>
      </c>
      <c r="C60" s="1">
        <v>-1.6159298338818569E-2</v>
      </c>
      <c r="D60" s="1">
        <v>-7.0013406348206917E-3</v>
      </c>
      <c r="E60" s="2">
        <f>SQRT(horizons_results_fin_use___Copy__2[[#This Row],[X (Position in AU)]]^2+horizons_results_fin_use___Copy__2[[#This Row],[Y (Position in AU)]]^2+horizons_results_fin_use___Copy__2[[#This Row],[Z (Position in AU)]]^2)</f>
        <v>0.99629987947356824</v>
      </c>
    </row>
    <row r="61" spans="1:5" x14ac:dyDescent="0.3">
      <c r="A61" s="1">
        <f t="shared" si="0"/>
        <v>60</v>
      </c>
      <c r="B61" s="1">
        <v>-0.99596536692856052</v>
      </c>
      <c r="C61" s="1">
        <v>-3.2002440290881652E-2</v>
      </c>
      <c r="D61" s="1">
        <v>-1.3869321907074411E-2</v>
      </c>
      <c r="E61" s="2">
        <f>SQRT(horizons_results_fin_use___Copy__2[[#This Row],[X (Position in AU)]]^2+horizons_results_fin_use___Copy__2[[#This Row],[Y (Position in AU)]]^2+horizons_results_fin_use___Copy__2[[#This Row],[Z (Position in AU)]]^2)</f>
        <v>0.99657590097085713</v>
      </c>
    </row>
    <row r="62" spans="1:5" x14ac:dyDescent="0.3">
      <c r="A62" s="1">
        <f t="shared" si="0"/>
        <v>61</v>
      </c>
      <c r="B62" s="1">
        <v>-0.99548771012989257</v>
      </c>
      <c r="C62" s="1">
        <v>-4.7834732298775731E-2</v>
      </c>
      <c r="D62" s="1">
        <v>-2.0732426494980239E-2</v>
      </c>
      <c r="E62" s="2">
        <f>SQRT(horizons_results_fin_use___Copy__2[[#This Row],[X (Position in AU)]]^2+horizons_results_fin_use___Copy__2[[#This Row],[Y (Position in AU)]]^2+horizons_results_fin_use___Copy__2[[#This Row],[Z (Position in AU)]]^2)</f>
        <v>0.99685193290785279</v>
      </c>
    </row>
    <row r="63" spans="1:5" x14ac:dyDescent="0.3">
      <c r="A63" s="1">
        <f t="shared" si="0"/>
        <v>62</v>
      </c>
      <c r="B63" s="1">
        <v>-0.99471204163730043</v>
      </c>
      <c r="C63" s="1">
        <v>-6.3651266524613864E-2</v>
      </c>
      <c r="D63" s="1">
        <v>-2.7588522649968361E-2</v>
      </c>
      <c r="E63" s="2">
        <f>SQRT(horizons_results_fin_use___Copy__2[[#This Row],[X (Position in AU)]]^2+horizons_results_fin_use___Copy__2[[#This Row],[Y (Position in AU)]]^2+horizons_results_fin_use___Copy__2[[#This Row],[Z (Position in AU)]]^2)</f>
        <v>0.99712820444035266</v>
      </c>
    </row>
    <row r="64" spans="1:5" x14ac:dyDescent="0.3">
      <c r="A64" s="1">
        <f t="shared" si="0"/>
        <v>63</v>
      </c>
      <c r="B64" s="1">
        <v>-0.99363927485089854</v>
      </c>
      <c r="C64" s="1">
        <v>-7.9447247367649299E-2</v>
      </c>
      <c r="D64" s="1">
        <v>-3.4435539088951597E-2</v>
      </c>
      <c r="E64" s="2">
        <f>SQRT(horizons_results_fin_use___Copy__2[[#This Row],[X (Position in AU)]]^2+horizons_results_fin_use___Copy__2[[#This Row],[Y (Position in AU)]]^2+horizons_results_fin_use___Copy__2[[#This Row],[Z (Position in AU)]]^2)</f>
        <v>0.99740497291364183</v>
      </c>
    </row>
    <row r="65" spans="1:5" x14ac:dyDescent="0.3">
      <c r="A65" s="1">
        <f t="shared" si="0"/>
        <v>64</v>
      </c>
      <c r="B65" s="1">
        <v>-0.99227041136268057</v>
      </c>
      <c r="C65" s="1">
        <v>-9.5217993605822199E-2</v>
      </c>
      <c r="D65" s="1">
        <v>-4.127146470130421E-2</v>
      </c>
      <c r="E65" s="2">
        <f>SQRT(horizons_results_fin_use___Copy__2[[#This Row],[X (Position in AU)]]^2+horizons_results_fin_use___Copy__2[[#This Row],[Y (Position in AU)]]^2+horizons_results_fin_use___Copy__2[[#This Row],[Z (Position in AU)]]^2)</f>
        <v>0.99768249928059416</v>
      </c>
    </row>
    <row r="66" spans="1:5" x14ac:dyDescent="0.3">
      <c r="A66" s="1">
        <f t="shared" si="0"/>
        <v>65</v>
      </c>
      <c r="B66" s="1">
        <v>-0.99060651124285892</v>
      </c>
      <c r="C66" s="1">
        <v>-0.1109589323149469</v>
      </c>
      <c r="D66" s="1">
        <v>-4.8094343980503163E-2</v>
      </c>
      <c r="E66" s="2">
        <f>SQRT(horizons_results_fin_use___Copy__2[[#This Row],[X (Position in AU)]]^2+horizons_results_fin_use___Copy__2[[#This Row],[Y (Position in AU)]]^2+horizons_results_fin_use___Copy__2[[#This Row],[Z (Position in AU)]]^2)</f>
        <v>0.99796102664389463</v>
      </c>
    </row>
    <row r="67" spans="1:5" x14ac:dyDescent="0.3">
      <c r="A67" s="1">
        <f t="shared" si="0"/>
        <v>66</v>
      </c>
      <c r="B67" s="1">
        <v>-0.98864866899153692</v>
      </c>
      <c r="C67" s="1">
        <v>-0.1266655870287573</v>
      </c>
      <c r="D67" s="1">
        <v>-5.4902269573236892E-2</v>
      </c>
      <c r="E67" s="2">
        <f>SQRT(horizons_results_fin_use___Copy__2[[#This Row],[X (Position in AU)]]^2+horizons_results_fin_use___Copy__2[[#This Row],[Y (Position in AU)]]^2+horizons_results_fin_use___Copy__2[[#This Row],[Z (Position in AU)]]^2)</f>
        <v>0.99824076296270803</v>
      </c>
    </row>
    <row r="68" spans="1:5" x14ac:dyDescent="0.3">
      <c r="A68" s="1">
        <f t="shared" ref="A68:A131" si="1">A67+1</f>
        <v>67</v>
      </c>
      <c r="B68" s="1">
        <v>-0.9863979956364709</v>
      </c>
      <c r="C68" s="1">
        <v>-0.14233356218871901</v>
      </c>
      <c r="D68" s="1">
        <v>-6.169337307055258E-2</v>
      </c>
      <c r="E68" s="2">
        <f>SQRT(horizons_results_fin_use___Copy__2[[#This Row],[X (Position in AU)]]^2+horizons_results_fin_use___Copy__2[[#This Row],[Y (Position in AU)]]^2+horizons_results_fin_use___Copy__2[[#This Row],[Z (Position in AU)]]^2)</f>
        <v>0.99852186806388954</v>
      </c>
    </row>
    <row r="69" spans="1:5" x14ac:dyDescent="0.3">
      <c r="A69" s="1">
        <f t="shared" si="1"/>
        <v>68</v>
      </c>
      <c r="B69" s="1">
        <v>-0.98385560702449382</v>
      </c>
      <c r="C69" s="1">
        <v>-0.15795852544486699</v>
      </c>
      <c r="D69" s="1">
        <v>-6.8465814885878717E-2</v>
      </c>
      <c r="E69" s="2">
        <f>SQRT(horizons_results_fin_use___Copy__2[[#This Row],[X (Position in AU)]]^2+horizons_results_fin_use___Copy__2[[#This Row],[Y (Position in AU)]]^2+horizons_results_fin_use___Copy__2[[#This Row],[Z (Position in AU)]]^2)</f>
        <v>0.99880444484505548</v>
      </c>
    </row>
    <row r="70" spans="1:5" x14ac:dyDescent="0.3">
      <c r="A70" s="1">
        <f t="shared" si="1"/>
        <v>69</v>
      </c>
      <c r="B70" s="1">
        <v>-0.98102261825237536</v>
      </c>
      <c r="C70" s="1">
        <v>-0.17353618915880159</v>
      </c>
      <c r="D70" s="1">
        <v>-7.5217773947044306E-2</v>
      </c>
      <c r="E70" s="2">
        <f>SQRT(horizons_results_fin_use___Copy__2[[#This Row],[X (Position in AU)]]^2+horizons_results_fin_use___Copy__2[[#This Row],[Y (Position in AU)]]^2+horizons_results_fin_use___Copy__2[[#This Row],[Z (Position in AU)]]^2)</f>
        <v>0.9990885346094478</v>
      </c>
    </row>
    <row r="71" spans="1:5" x14ac:dyDescent="0.3">
      <c r="A71" s="1">
        <f t="shared" si="1"/>
        <v>70</v>
      </c>
      <c r="B71" s="1">
        <v>-0.97790014399501168</v>
      </c>
      <c r="C71" s="1">
        <v>-0.18906229249420581</v>
      </c>
      <c r="D71" s="1">
        <v>-8.1947437939856371E-2</v>
      </c>
      <c r="E71" s="2">
        <f>SQRT(horizons_results_fin_use___Copy__2[[#This Row],[X (Position in AU)]]^2+horizons_results_fin_use___Copy__2[[#This Row],[Y (Position in AU)]]^2+horizons_results_fin_use___Copy__2[[#This Row],[Z (Position in AU)]]^2)</f>
        <v>0.99937411646166607</v>
      </c>
    </row>
    <row r="72" spans="1:5" x14ac:dyDescent="0.3">
      <c r="A72" s="1">
        <f t="shared" si="1"/>
        <v>71</v>
      </c>
      <c r="B72" s="1">
        <v>-0.9744893040449073</v>
      </c>
      <c r="C72" s="1">
        <v>-0.20453258550795669</v>
      </c>
      <c r="D72" s="1">
        <v>-8.8652994837858393E-2</v>
      </c>
      <c r="E72" s="2">
        <f>SQRT(horizons_results_fin_use___Copy__2[[#This Row],[X (Position in AU)]]^2+horizons_results_fin_use___Copy__2[[#This Row],[Y (Position in AU)]]^2+horizons_results_fin_use___Copy__2[[#This Row],[Z (Position in AU)]]^2)</f>
        <v>0.99966111044004247</v>
      </c>
    </row>
    <row r="73" spans="1:5" x14ac:dyDescent="0.3">
      <c r="A73" s="1">
        <f t="shared" si="1"/>
        <v>72</v>
      </c>
      <c r="B73" s="1">
        <v>-0.97079123279562685</v>
      </c>
      <c r="C73" s="1">
        <v>-0.21994281643763641</v>
      </c>
      <c r="D73" s="1">
        <v>-9.5332626312891827E-2</v>
      </c>
      <c r="E73" s="2">
        <f>SQRT(horizons_results_fin_use___Copy__2[[#This Row],[X (Position in AU)]]^2+horizons_results_fin_use___Copy__2[[#This Row],[Y (Position in AU)]]^2+horizons_results_fin_use___Copy__2[[#This Row],[Z (Position in AU)]]^2)</f>
        <v>0.99994938362653452</v>
      </c>
    </row>
    <row r="74" spans="1:5" x14ac:dyDescent="0.3">
      <c r="A74" s="1">
        <f t="shared" si="1"/>
        <v>73</v>
      </c>
      <c r="B74" s="1">
        <v>-0.96680709095426987</v>
      </c>
      <c r="C74" s="1">
        <v>-0.2352887228554868</v>
      </c>
      <c r="D74" s="1">
        <v>-0.1019845033204136</v>
      </c>
      <c r="E74" s="2">
        <f>SQRT(horizons_results_fin_use___Copy__2[[#This Row],[X (Position in AU)]]^2+horizons_results_fin_use___Copy__2[[#This Row],[Y (Position in AU)]]^2+horizons_results_fin_use___Copy__2[[#This Row],[Z (Position in AU)]]^2)</f>
        <v>1.0002387580672603</v>
      </c>
    </row>
    <row r="75" spans="1:5" x14ac:dyDescent="0.3">
      <c r="A75" s="1">
        <f t="shared" si="1"/>
        <v>74</v>
      </c>
      <c r="B75" s="1">
        <v>-0.96253807767807509</v>
      </c>
      <c r="C75" s="1">
        <v>-0.25056602665655048</v>
      </c>
      <c r="D75" s="1">
        <v>-0.1086067837719224</v>
      </c>
      <c r="E75" s="2">
        <f>SQRT(horizons_results_fin_use___Copy__2[[#This Row],[X (Position in AU)]]^2+horizons_results_fin_use___Copy__2[[#This Row],[Y (Position in AU)]]^2+horizons_results_fin_use___Copy__2[[#This Row],[Z (Position in AU)]]^2)</f>
        <v>1.0005290191573337</v>
      </c>
    </row>
    <row r="76" spans="1:5" x14ac:dyDescent="0.3">
      <c r="A76" s="1">
        <f t="shared" si="1"/>
        <v>75</v>
      </c>
      <c r="B76" s="1">
        <v>-0.95798544164655031</v>
      </c>
      <c r="C76" s="1">
        <v>-0.26577043219249441</v>
      </c>
      <c r="D76" s="1">
        <v>-0.1151976118660079</v>
      </c>
      <c r="E76" s="2">
        <f>SQRT(horizons_results_fin_use___Copy__2[[#This Row],[X (Position in AU)]]^2+horizons_results_fin_use___Copy__2[[#This Row],[Y (Position in AU)]]^2+horizons_results_fin_use___Copy__2[[#This Row],[Z (Position in AU)]]^2)</f>
        <v>1.0008199232699919</v>
      </c>
    </row>
    <row r="77" spans="1:5" x14ac:dyDescent="0.3">
      <c r="A77" s="1">
        <f t="shared" si="1"/>
        <v>76</v>
      </c>
      <c r="B77" s="1">
        <v>-0.9531504901843777</v>
      </c>
      <c r="C77" s="1">
        <v>-0.28089762643107857</v>
      </c>
      <c r="D77" s="1">
        <v>-0.1217551184409446</v>
      </c>
      <c r="E77" s="2">
        <f>SQRT(horizons_results_fin_use___Copy__2[[#This Row],[X (Position in AU)]]^2+horizons_results_fin_use___Copy__2[[#This Row],[Y (Position in AU)]]^2+horizons_results_fin_use___Copy__2[[#This Row],[Z (Position in AU)]]^2)</f>
        <v>1.0011112037830272</v>
      </c>
    </row>
    <row r="78" spans="1:5" x14ac:dyDescent="0.3">
      <c r="A78" s="1">
        <f t="shared" si="1"/>
        <v>77</v>
      </c>
      <c r="B78" s="1">
        <v>-0.94803459625825759</v>
      </c>
      <c r="C78" s="1">
        <v>-0.29594327987872199</v>
      </c>
      <c r="D78" s="1">
        <v>-0.12827742166284101</v>
      </c>
      <c r="E78" s="2">
        <f>SQRT(horizons_results_fin_use___Copy__2[[#This Row],[X (Position in AU)]]^2+horizons_results_fin_use___Copy__2[[#This Row],[Y (Position in AU)]]^2+horizons_results_fin_use___Copy__2[[#This Row],[Z (Position in AU)]]^2)</f>
        <v>1.0014025751496745</v>
      </c>
    </row>
    <row r="79" spans="1:5" x14ac:dyDescent="0.3">
      <c r="A79" s="1">
        <f t="shared" si="1"/>
        <v>78</v>
      </c>
      <c r="B79" s="1">
        <v>-0.94263920383871869</v>
      </c>
      <c r="C79" s="1">
        <v>-0.31090304711865702</v>
      </c>
      <c r="D79" s="1">
        <v>-0.1347626274514547</v>
      </c>
      <c r="E79" s="2">
        <f>SQRT(horizons_results_fin_use___Copy__2[[#This Row],[X (Position in AU)]]^2+horizons_results_fin_use___Copy__2[[#This Row],[Y (Position in AU)]]^2+horizons_results_fin_use___Copy__2[[#This Row],[Z (Position in AU)]]^2)</f>
        <v>1.0016937351700763</v>
      </c>
    </row>
    <row r="80" spans="1:5" x14ac:dyDescent="0.3">
      <c r="A80" s="1">
        <f t="shared" si="1"/>
        <v>79</v>
      </c>
      <c r="B80" s="1">
        <v>-0.93696583268029898</v>
      </c>
      <c r="C80" s="1">
        <v>-0.3257725661301849</v>
      </c>
      <c r="D80" s="1">
        <v>-0.14120882923621619</v>
      </c>
      <c r="E80" s="2">
        <f>SQRT(horizons_results_fin_use___Copy__2[[#This Row],[X (Position in AU)]]^2+horizons_results_fin_use___Copy__2[[#This Row],[Y (Position in AU)]]^2+horizons_results_fin_use___Copy__2[[#This Row],[Z (Position in AU)]]^2)</f>
        <v>1.001984366099389</v>
      </c>
    </row>
    <row r="81" spans="1:5" x14ac:dyDescent="0.3">
      <c r="A81" s="1">
        <f t="shared" si="1"/>
        <v>80</v>
      </c>
      <c r="B81" s="1">
        <v>-0.93101608401599656</v>
      </c>
      <c r="C81" s="1">
        <v>-0.34054745604020492</v>
      </c>
      <c r="D81" s="1">
        <v>-0.14761410691328139</v>
      </c>
      <c r="E81" s="2">
        <f>SQRT(horizons_results_fin_use___Copy__2[[#This Row],[X (Position in AU)]]^2+horizons_results_fin_use___Copy__2[[#This Row],[Y (Position in AU)]]^2+horizons_results_fin_use___Copy__2[[#This Row],[Z (Position in AU)]]^2)</f>
        <v>1.0022741356893043</v>
      </c>
    </row>
    <row r="82" spans="1:5" x14ac:dyDescent="0.3">
      <c r="A82" s="1">
        <f t="shared" si="1"/>
        <v>81</v>
      </c>
      <c r="B82" s="1">
        <v>-0.924791648945959</v>
      </c>
      <c r="C82" s="1">
        <v>-0.35522331364787513</v>
      </c>
      <c r="D82" s="1">
        <v>-0.15397652525573291</v>
      </c>
      <c r="E82" s="2">
        <f>SQRT(horizons_results_fin_use___Copy__2[[#This Row],[X (Position in AU)]]^2+horizons_results_fin_use___Copy__2[[#This Row],[Y (Position in AU)]]^2+horizons_results_fin_use___Copy__2[[#This Row],[Z (Position in AU)]]^2)</f>
        <v>1.0025626997095951</v>
      </c>
    </row>
    <row r="83" spans="1:5" x14ac:dyDescent="0.3">
      <c r="A83" s="1">
        <f t="shared" si="1"/>
        <v>82</v>
      </c>
      <c r="B83" s="1">
        <v>-0.91829432128138266</v>
      </c>
      <c r="C83" s="1">
        <v>-0.36979571000833339</v>
      </c>
      <c r="D83" s="1">
        <v>-0.16029413253497071</v>
      </c>
      <c r="E83" s="2">
        <f>SQRT(horizons_results_fin_use___Copy__2[[#This Row],[X (Position in AU)]]^2+horizons_results_fin_use___Copy__2[[#This Row],[Y (Position in AU)]]^2+horizons_results_fin_use___Copy__2[[#This Row],[Z (Position in AU)]]^2)</f>
        <v>1.0028497078642151</v>
      </c>
    </row>
    <row r="84" spans="1:5" x14ac:dyDescent="0.3">
      <c r="A84" s="1">
        <f t="shared" si="1"/>
        <v>83</v>
      </c>
      <c r="B84" s="1">
        <v>-0.91152601598244032</v>
      </c>
      <c r="C84" s="1">
        <v>-0.38426018952059338</v>
      </c>
      <c r="D84" s="1">
        <v>-0.166564960707863</v>
      </c>
      <c r="E84" s="2">
        <f>SQRT(horizons_results_fin_use___Copy__2[[#This Row],[X (Position in AU)]]^2+horizons_results_fin_use___Copy__2[[#This Row],[Y (Position in AU)]]^2+horizons_results_fin_use___Copy__2[[#This Row],[Z (Position in AU)]]^2)</f>
        <v>1.0031348150666661</v>
      </c>
    </row>
    <row r="85" spans="1:5" x14ac:dyDescent="0.3">
      <c r="A85" s="1">
        <f t="shared" si="1"/>
        <v>84</v>
      </c>
      <c r="B85" s="1">
        <v>-0.90448879272834382</v>
      </c>
      <c r="C85" s="1">
        <v>-0.39861227502229452</v>
      </c>
      <c r="D85" s="1">
        <v>-0.1727870290272922</v>
      </c>
      <c r="E85" s="2">
        <f>SQRT(horizons_results_fin_use___Copy__2[[#This Row],[X (Position in AU)]]^2+horizons_results_fin_use___Copy__2[[#This Row],[Y (Position in AU)]]^2+horizons_results_fin_use___Copy__2[[#This Row],[Z (Position in AU)]]^2)</f>
        <v>1.0034176993504274</v>
      </c>
    </row>
    <row r="86" spans="1:5" x14ac:dyDescent="0.3">
      <c r="A86" s="1">
        <f t="shared" si="1"/>
        <v>85</v>
      </c>
      <c r="B86" s="1">
        <v>-0.89718488145809128</v>
      </c>
      <c r="C86" s="1">
        <v>-0.41284748261883802</v>
      </c>
      <c r="D86" s="1">
        <v>-0.17895835294690959</v>
      </c>
      <c r="E86" s="2">
        <f>SQRT(horizons_results_fin_use___Copy__2[[#This Row],[X (Position in AU)]]^2+horizons_results_fin_use___Copy__2[[#This Row],[Y (Position in AU)]]^2+horizons_results_fin_use___Copy__2[[#This Row],[Z (Position in AU)]]^2)</f>
        <v>1.0036980858361502</v>
      </c>
    </row>
    <row r="87" spans="1:5" x14ac:dyDescent="0.3">
      <c r="A87" s="1">
        <f t="shared" si="1"/>
        <v>86</v>
      </c>
      <c r="B87" s="1">
        <v>-0.88961670361201761</v>
      </c>
      <c r="C87" s="1">
        <v>-0.42696134840748989</v>
      </c>
      <c r="D87" s="1">
        <v>-0.18507695922776421</v>
      </c>
      <c r="E87" s="2">
        <f>SQRT(horizons_results_fin_use___Copy__2[[#This Row],[X (Position in AU)]]^2+horizons_results_fin_use___Copy__2[[#This Row],[Y (Position in AU)]]^2+horizons_results_fin_use___Copy__2[[#This Row],[Z (Position in AU)]]^2)</f>
        <v>1.003975773221869</v>
      </c>
    </row>
    <row r="88" spans="1:5" x14ac:dyDescent="0.3">
      <c r="A88" s="1">
        <f t="shared" si="1"/>
        <v>87</v>
      </c>
      <c r="B88" s="1">
        <v>-0.88178688108030656</v>
      </c>
      <c r="C88" s="1">
        <v>-0.44094946550041408</v>
      </c>
      <c r="D88" s="1">
        <v>-0.19114090607307549</v>
      </c>
      <c r="E88" s="2">
        <f>SQRT(horizons_results_fin_use___Copy__2[[#This Row],[X (Position in AU)]]^2+horizons_results_fin_use___Copy__2[[#This Row],[Y (Position in AU)]]^2+horizons_results_fin_use___Copy__2[[#This Row],[Z (Position in AU)]]^2)</f>
        <v>1.0042506563328062</v>
      </c>
    </row>
    <row r="89" spans="1:5" x14ac:dyDescent="0.3">
      <c r="A89" s="1">
        <f t="shared" si="1"/>
        <v>88</v>
      </c>
      <c r="B89" s="1">
        <v>-0.87369822659834107</v>
      </c>
      <c r="C89" s="1">
        <v>-0.45480752500241328</v>
      </c>
      <c r="D89" s="1">
        <v>-0.19714830464209929</v>
      </c>
      <c r="E89" s="2">
        <f>SQRT(horizons_results_fin_use___Copy__2[[#This Row],[X (Position in AU)]]^2+horizons_results_fin_use___Copy__2[[#This Row],[Y (Position in AU)]]^2+horizons_results_fin_use___Copy__2[[#This Row],[Z (Position in AU)]]^2)</f>
        <v>1.0045227374147192</v>
      </c>
    </row>
    <row r="90" spans="1:5" x14ac:dyDescent="0.3">
      <c r="A90" s="1">
        <f t="shared" si="1"/>
        <v>89</v>
      </c>
      <c r="B90" s="1">
        <v>-0.86535371487620738</v>
      </c>
      <c r="C90" s="1">
        <v>-0.46853135162826198</v>
      </c>
      <c r="D90" s="1">
        <v>-0.20309733692260221</v>
      </c>
      <c r="E90" s="2">
        <f>SQRT(horizons_results_fin_use___Copy__2[[#This Row],[X (Position in AU)]]^2+horizons_results_fin_use___Copy__2[[#This Row],[Y (Position in AU)]]^2+horizons_results_fin_use___Copy__2[[#This Row],[Z (Position in AU)]]^2)</f>
        <v>1.0047921215722739</v>
      </c>
    </row>
    <row r="91" spans="1:5" x14ac:dyDescent="0.3">
      <c r="A91" s="1">
        <f t="shared" si="1"/>
        <v>90</v>
      </c>
      <c r="B91" s="1">
        <v>-0.85675644048003485</v>
      </c>
      <c r="C91" s="1">
        <v>-0.48211692580970689</v>
      </c>
      <c r="D91" s="1">
        <v>-0.208986265833458</v>
      </c>
      <c r="E91" s="2">
        <f>SQRT(horizons_results_fin_use___Copy__2[[#This Row],[X (Position in AU)]]^2+horizons_results_fin_use___Copy__2[[#This Row],[Y (Position in AU)]]^2+horizons_results_fin_use___Copy__2[[#This Row],[Z (Position in AU)]]^2)</f>
        <v>1.0050589971555077</v>
      </c>
    </row>
    <row r="92" spans="1:5" x14ac:dyDescent="0.3">
      <c r="A92" s="1">
        <f t="shared" si="1"/>
        <v>91</v>
      </c>
      <c r="B92" s="1">
        <v>-0.84790957240483777</v>
      </c>
      <c r="C92" s="1">
        <v>-0.49556038902917648</v>
      </c>
      <c r="D92" s="1">
        <v>-0.2148134362038569</v>
      </c>
      <c r="E92" s="2">
        <f>SQRT(horizons_results_fin_use___Copy__2[[#This Row],[X (Position in AU)]]^2+horizons_results_fin_use___Copy__2[[#This Row],[Y (Position in AU)]]^2+horizons_results_fin_use___Copy__2[[#This Row],[Z (Position in AU)]]^2)</f>
        <v>1.0053236068670686</v>
      </c>
    </row>
    <row r="93" spans="1:5" x14ac:dyDescent="0.3">
      <c r="A93" s="1">
        <f t="shared" si="1"/>
        <v>92</v>
      </c>
      <c r="B93" s="1">
        <v>-0.83881631443554516</v>
      </c>
      <c r="C93" s="1">
        <v>-0.50885803466584267</v>
      </c>
      <c r="D93" s="1">
        <v>-0.2205772682161099</v>
      </c>
      <c r="E93" s="2">
        <f>SQRT(horizons_results_fin_use___Copy__2[[#This Row],[X (Position in AU)]]^2+horizons_results_fin_use___Copy__2[[#This Row],[Y (Position in AU)]]^2+horizons_results_fin_use___Copy__2[[#This Row],[Z (Position in AU)]]^2)</f>
        <v>1.0055862171195948</v>
      </c>
    </row>
    <row r="94" spans="1:5" x14ac:dyDescent="0.3">
      <c r="A94" s="1">
        <f t="shared" si="1"/>
        <v>93</v>
      </c>
      <c r="B94" s="1">
        <v>-0.82947987625823727</v>
      </c>
      <c r="C94" s="1">
        <v>-0.52200628984907504</v>
      </c>
      <c r="D94" s="1">
        <v>-0.22627624645530511</v>
      </c>
      <c r="E94" s="2">
        <f>SQRT(horizons_results_fin_use___Copy__2[[#This Row],[X (Position in AU)]]^2+horizons_results_fin_use___Copy__2[[#This Row],[Y (Position in AU)]]^2+horizons_results_fin_use___Copy__2[[#This Row],[Z (Position in AU)]]^2)</f>
        <v>1.0058470914951632</v>
      </c>
    </row>
    <row r="95" spans="1:5" x14ac:dyDescent="0.3">
      <c r="A95" s="1">
        <f t="shared" si="1"/>
        <v>94</v>
      </c>
      <c r="B95" s="1">
        <v>-0.81990345587624236</v>
      </c>
      <c r="C95" s="1">
        <v>-0.5350016939327874</v>
      </c>
      <c r="D95" s="1">
        <v>-0.2319089075980377</v>
      </c>
      <c r="E95" s="2">
        <f>SQRT(horizons_results_fin_use___Copy__2[[#This Row],[X (Position in AU)]]^2+horizons_results_fin_use___Copy__2[[#This Row],[Y (Position in AU)]]^2+horizons_results_fin_use___Copy__2[[#This Row],[Z (Position in AU)]]^2)</f>
        <v>1.0061064709522907</v>
      </c>
    </row>
    <row r="96" spans="1:5" x14ac:dyDescent="0.3">
      <c r="A96" s="1">
        <f t="shared" si="1"/>
        <v>95</v>
      </c>
      <c r="B96" s="1">
        <v>-0.81009023122439361</v>
      </c>
      <c r="C96" s="1">
        <v>-0.54784087744644883</v>
      </c>
      <c r="D96" s="1">
        <v>-0.2374738287250652</v>
      </c>
      <c r="E96" s="2">
        <f>SQRT(horizons_results_fin_use___Copy__2[[#This Row],[X (Position in AU)]]^2+horizons_results_fin_use___Copy__2[[#This Row],[Y (Position in AU)]]^2+horizons_results_fin_use___Copy__2[[#This Row],[Z (Position in AU)]]^2)</f>
        <v>1.0063645607113896</v>
      </c>
    </row>
    <row r="97" spans="1:5" x14ac:dyDescent="0.3">
      <c r="A97" s="1">
        <f t="shared" si="1"/>
        <v>96</v>
      </c>
      <c r="B97" s="1">
        <v>-0.80004335819751748</v>
      </c>
      <c r="C97" s="1">
        <v>-0.56052054334007761</v>
      </c>
      <c r="D97" s="1">
        <v>-0.24296961712343559</v>
      </c>
      <c r="E97" s="2">
        <f>SQRT(horizons_results_fin_use___Copy__2[[#This Row],[X (Position in AU)]]^2+horizons_results_fin_use___Copy__2[[#This Row],[Y (Position in AU)]]^2+horizons_results_fin_use___Copy__2[[#This Row],[Z (Position in AU)]]^2)</f>
        <v>1.0066215223942543</v>
      </c>
    </row>
    <row r="98" spans="1:5" x14ac:dyDescent="0.3">
      <c r="A98" s="1">
        <f t="shared" si="1"/>
        <v>97</v>
      </c>
      <c r="B98" s="1">
        <v>-0.78976597283112859</v>
      </c>
      <c r="C98" s="1">
        <v>-0.57303745094129244</v>
      </c>
      <c r="D98" s="1">
        <v>-0.24839490171423159</v>
      </c>
      <c r="E98" s="2">
        <f>SQRT(horizons_results_fin_use___Copy__2[[#This Row],[X (Position in AU)]]^2+horizons_results_fin_use___Copy__2[[#This Row],[Y (Position in AU)]]^2+horizons_results_fin_use___Copy__2[[#This Row],[Z (Position in AU)]]^2)</f>
        <v>1.0068774698148806</v>
      </c>
    </row>
    <row r="99" spans="1:5" x14ac:dyDescent="0.3">
      <c r="A99" s="1">
        <f t="shared" si="1"/>
        <v>98</v>
      </c>
      <c r="B99" s="1">
        <v>-0.77926119621995305</v>
      </c>
      <c r="C99" s="1">
        <v>-0.58538840244058898</v>
      </c>
      <c r="D99" s="1">
        <v>-0.25374832595265528</v>
      </c>
      <c r="E99" s="2">
        <f>SQRT(horizons_results_fin_use___Copy__2[[#This Row],[X (Position in AU)]]^2+horizons_results_fin_use___Copy__2[[#This Row],[Y (Position in AU)]]^2+horizons_results_fin_use___Copy__2[[#This Row],[Z (Position in AU)]]^2)</f>
        <v>1.0071324672404678</v>
      </c>
    </row>
    <row r="100" spans="1:5" x14ac:dyDescent="0.3">
      <c r="A100" s="1">
        <f t="shared" si="1"/>
        <v>99</v>
      </c>
      <c r="B100" s="1">
        <v>-0.76853214140511827</v>
      </c>
      <c r="C100" s="1">
        <v>-0.59757023166663803</v>
      </c>
      <c r="D100" s="1">
        <v>-0.25902854204296299</v>
      </c>
      <c r="E100" s="2">
        <f>SQRT(horizons_results_fin_use___Copy__2[[#This Row],[X (Position in AU)]]^2+horizons_results_fin_use___Copy__2[[#This Row],[Y (Position in AU)]]^2+horizons_results_fin_use___Copy__2[[#This Row],[Z (Position in AU)]]^2)</f>
        <v>1.0073865294611395</v>
      </c>
    </row>
    <row r="101" spans="1:5" x14ac:dyDescent="0.3">
      <c r="A101" s="1">
        <f t="shared" si="1"/>
        <v>100</v>
      </c>
      <c r="B101" s="1">
        <v>-0.75758192174138816</v>
      </c>
      <c r="C101" s="1">
        <v>-0.60957979507178006</v>
      </c>
      <c r="D101" s="1">
        <v>-0.26423420640601009</v>
      </c>
      <c r="E101" s="2">
        <f>SQRT(horizons_results_fin_use___Copy__2[[#This Row],[X (Position in AU)]]^2+horizons_results_fin_use___Copy__2[[#This Row],[Y (Position in AU)]]^2+horizons_results_fin_use___Copy__2[[#This Row],[Z (Position in AU)]]^2)</f>
        <v>1.007639623349609</v>
      </c>
    </row>
    <row r="102" spans="1:5" x14ac:dyDescent="0.3">
      <c r="A102" s="1">
        <f t="shared" si="1"/>
        <v>101</v>
      </c>
      <c r="B102" s="1">
        <v>-0.74641366024695155</v>
      </c>
      <c r="C102" s="1">
        <v>-0.62141396496577228</v>
      </c>
      <c r="D102" s="1">
        <v>-0.26936397639933768</v>
      </c>
      <c r="E102" s="2">
        <f>SQRT(horizons_results_fin_use___Copy__2[[#This Row],[X (Position in AU)]]^2+horizons_results_fin_use___Copy__2[[#This Row],[Y (Position in AU)]]^2+horizons_results_fin_use___Copy__2[[#This Row],[Z (Position in AU)]]^2)</f>
        <v>1.0078916706865855</v>
      </c>
    </row>
    <row r="103" spans="1:5" x14ac:dyDescent="0.3">
      <c r="A103" s="1">
        <f t="shared" si="1"/>
        <v>102</v>
      </c>
      <c r="B103" s="1">
        <v>-0.73503049931706887</v>
      </c>
      <c r="C103" s="1">
        <v>-0.63306962499466679</v>
      </c>
      <c r="D103" s="1">
        <v>-0.27441650826250291</v>
      </c>
      <c r="E103" s="2">
        <f>SQRT(horizons_results_fin_use___Copy__2[[#This Row],[X (Position in AU)]]^2+horizons_results_fin_use___Copy__2[[#This Row],[Y (Position in AU)]]^2+horizons_results_fin_use___Copy__2[[#This Row],[Z (Position in AU)]]^2)</f>
        <v>1.0081425519360703</v>
      </c>
    </row>
    <row r="104" spans="1:5" x14ac:dyDescent="0.3">
      <c r="A104" s="1">
        <f t="shared" si="1"/>
        <v>103</v>
      </c>
      <c r="B104" s="1">
        <v>-0.72343561012276225</v>
      </c>
      <c r="C104" s="1">
        <v>-0.64454366766822679</v>
      </c>
      <c r="D104" s="1">
        <v>-0.27939045615437408</v>
      </c>
      <c r="E104" s="2">
        <f>SQRT(horizons_results_fin_use___Copy__2[[#This Row],[X (Position in AU)]]^2+horizons_results_fin_use___Copy__2[[#This Row],[Y (Position in AU)]]^2+horizons_results_fin_use___Copy__2[[#This Row],[Z (Position in AU)]]^2)</f>
        <v>1.008392110498219</v>
      </c>
    </row>
    <row r="105" spans="1:5" x14ac:dyDescent="0.3">
      <c r="A105" s="1">
        <f t="shared" si="1"/>
        <v>104</v>
      </c>
      <c r="B105" s="1">
        <v>-0.71163220112033099</v>
      </c>
      <c r="C105" s="1">
        <v>-0.65583299348051405</v>
      </c>
      <c r="D105" s="1">
        <v>-0.28428447201510132</v>
      </c>
      <c r="E105" s="2">
        <f>SQRT(horizons_results_fin_use___Copy__2[[#This Row],[X (Position in AU)]]^2+horizons_results_fin_use___Copy__2[[#This Row],[Y (Position in AU)]]^2+horizons_results_fin_use___Copy__2[[#This Row],[Z (Position in AU)]]^2)</f>
        <v>1.0086401568636281</v>
      </c>
    </row>
    <row r="106" spans="1:5" x14ac:dyDescent="0.3">
      <c r="A106" s="1">
        <f t="shared" si="1"/>
        <v>105</v>
      </c>
      <c r="B106" s="1">
        <v>-0.69962352538203254</v>
      </c>
      <c r="C106" s="1">
        <v>-0.66693451095272294</v>
      </c>
      <c r="D106" s="1">
        <v>-0.28909720588208399</v>
      </c>
      <c r="E106" s="2">
        <f>SQRT(horizons_results_fin_use___Copy__2[[#This Row],[X (Position in AU)]]^2+horizons_results_fin_use___Copy__2[[#This Row],[Y (Position in AU)]]^2+horizons_results_fin_use___Copy__2[[#This Row],[Z (Position in AU)]]^2)</f>
        <v>1.0088864721149546</v>
      </c>
    </row>
    <row r="107" spans="1:5" x14ac:dyDescent="0.3">
      <c r="A107" s="1">
        <f t="shared" si="1"/>
        <v>106</v>
      </c>
      <c r="B107" s="1">
        <v>-0.68741288687306279</v>
      </c>
      <c r="C107" s="1">
        <v>-0.67784513683970127</v>
      </c>
      <c r="D107" s="1">
        <v>-0.29382730625971287</v>
      </c>
      <c r="E107" s="2">
        <f>SQRT(horizons_results_fin_use___Copy__2[[#This Row],[X (Position in AU)]]^2+horizons_results_fin_use___Copy__2[[#This Row],[Y (Position in AU)]]^2+horizons_results_fin_use___Copy__2[[#This Row],[Z (Position in AU)]]^2)</f>
        <v>1.0091308103909178</v>
      </c>
    </row>
    <row r="108" spans="1:5" x14ac:dyDescent="0.3">
      <c r="A108" s="1">
        <f t="shared" si="1"/>
        <v>107</v>
      </c>
      <c r="B108" s="1">
        <v>-0.67500364627123166</v>
      </c>
      <c r="C108" s="1">
        <v>-0.68856179582926236</v>
      </c>
      <c r="D108" s="1">
        <v>-0.29847342020915152</v>
      </c>
      <c r="E108" s="2">
        <f>SQRT(horizons_results_fin_use___Copy__2[[#This Row],[X (Position in AU)]]^2+horizons_results_fin_use___Copy__2[[#This Row],[Y (Position in AU)]]^2+horizons_results_fin_use___Copy__2[[#This Row],[Z (Position in AU)]]^2)</f>
        <v>1.0093729002338163</v>
      </c>
    </row>
    <row r="109" spans="1:5" x14ac:dyDescent="0.3">
      <c r="A109" s="1">
        <f t="shared" si="1"/>
        <v>108</v>
      </c>
      <c r="B109" s="1">
        <v>-0.66239922738159918</v>
      </c>
      <c r="C109" s="1">
        <v>-0.69908141935322377</v>
      </c>
      <c r="D109" s="1">
        <v>-0.30303419299820988</v>
      </c>
      <c r="E109" s="2">
        <f>SQRT(horizons_results_fin_use___Copy__2[[#This Row],[X (Position in AU)]]^2+horizons_results_fin_use___Copy__2[[#This Row],[Y (Position in AU)]]^2+horizons_results_fin_use___Copy__2[[#This Row],[Z (Position in AU)]]^2)</f>
        <v>1.0096124451722719</v>
      </c>
    </row>
    <row r="110" spans="1:5" x14ac:dyDescent="0.3">
      <c r="A110" s="1">
        <f t="shared" si="1"/>
        <v>109</v>
      </c>
      <c r="B110" s="1">
        <v>-0.64960312555836741</v>
      </c>
      <c r="C110" s="1">
        <v>-0.70940094365374684</v>
      </c>
      <c r="D110" s="1">
        <v>-0.30750826744621729</v>
      </c>
      <c r="E110" s="2">
        <f>SQRT(horizons_results_fin_use___Copy__2[[#This Row],[X (Position in AU)]]^2+horizons_results_fin_use___Copy__2[[#This Row],[Y (Position in AU)]]^2+horizons_results_fin_use___Copy__2[[#This Row],[Z (Position in AU)]]^2)</f>
        <v>1.0098491244437462</v>
      </c>
    </row>
    <row r="111" spans="1:5" x14ac:dyDescent="0.3">
      <c r="A111" s="1">
        <f t="shared" si="1"/>
        <v>110</v>
      </c>
      <c r="B111" s="1">
        <v>-0.63661891967126671</v>
      </c>
      <c r="C111" s="1">
        <v>-0.71951730804862368</v>
      </c>
      <c r="D111" s="1">
        <v>-0.31189428353036758</v>
      </c>
      <c r="E111" s="2">
        <f>SQRT(horizons_results_fin_use___Copy__2[[#This Row],[X (Position in AU)]]^2+horizons_results_fin_use___Copy__2[[#This Row],[Y (Position in AU)]]^2+horizons_results_fin_use___Copy__2[[#This Row],[Z (Position in AU)]]^2)</f>
        <v>1.0100825954167658</v>
      </c>
    </row>
    <row r="112" spans="1:5" x14ac:dyDescent="0.3">
      <c r="A112" s="1">
        <f t="shared" si="1"/>
        <v>111</v>
      </c>
      <c r="B112" s="1">
        <v>-0.62345028878438469</v>
      </c>
      <c r="C112" s="1">
        <v>-0.72942745540838072</v>
      </c>
      <c r="D112" s="1">
        <v>-0.31619087937353008</v>
      </c>
      <c r="E112" s="2">
        <f>SQRT(horizons_results_fin_use___Copy__2[[#This Row],[X (Position in AU)]]^2+horizons_results_fin_use___Copy__2[[#This Row],[Y (Position in AU)]]^2+horizons_results_fin_use___Copy__2[[#This Row],[Z (Position in AU)]]^2)</f>
        <v>1.0103124999166764</v>
      </c>
    </row>
    <row r="113" spans="1:5" x14ac:dyDescent="0.3">
      <c r="A113" s="1">
        <f t="shared" si="1"/>
        <v>112</v>
      </c>
      <c r="B113" s="1">
        <v>-0.61010103346748068</v>
      </c>
      <c r="C113" s="1">
        <v>-0.73912833799141597</v>
      </c>
      <c r="D113" s="1">
        <v>-0.32039669528365528</v>
      </c>
      <c r="E113" s="2">
        <f>SQRT(horizons_results_fin_use___Copy__2[[#This Row],[X (Position in AU)]]^2+horizons_results_fin_use___Copy__2[[#This Row],[Y (Position in AU)]]^2+horizons_results_fin_use___Copy__2[[#This Row],[Z (Position in AU)]]^2)</f>
        <v>1.0105384769560872</v>
      </c>
    </row>
    <row r="114" spans="1:5" x14ac:dyDescent="0.3">
      <c r="A114" s="1">
        <f t="shared" si="1"/>
        <v>113</v>
      </c>
      <c r="B114" s="1">
        <v>-0.59657509922910057</v>
      </c>
      <c r="C114" s="1">
        <v>-0.74861693238080274</v>
      </c>
      <c r="D114" s="1">
        <v>-0.32451038272897592</v>
      </c>
      <c r="E114" s="2">
        <f>SQRT(horizons_results_fin_use___Copy__2[[#This Row],[X (Position in AU)]]^2+horizons_results_fin_use___Copy__2[[#This Row],[Y (Position in AU)]]^2+horizons_results_fin_use___Copy__2[[#This Row],[Z (Position in AU)]]^2)</f>
        <v>1.0107601837064819</v>
      </c>
    </row>
    <row r="115" spans="1:5" x14ac:dyDescent="0.3">
      <c r="A115" s="1">
        <f t="shared" si="1"/>
        <v>114</v>
      </c>
      <c r="B115" s="1">
        <v>-0.58287659624917976</v>
      </c>
      <c r="C115" s="1">
        <v>-0.75789026629313527</v>
      </c>
      <c r="D115" s="1">
        <v>-0.32853061947351048</v>
      </c>
      <c r="E115" s="2">
        <f>SQRT(horizons_results_fin_use___Copy__2[[#This Row],[X (Position in AU)]]^2+horizons_results_fin_use___Copy__2[[#This Row],[Y (Position in AU)]]^2+horizons_results_fin_use___Copy__2[[#This Row],[Z (Position in AU)]]^2)</f>
        <v>1.0109773242405378</v>
      </c>
    </row>
    <row r="116" spans="1:5" x14ac:dyDescent="0.3">
      <c r="A116" s="1">
        <f t="shared" si="1"/>
        <v>115</v>
      </c>
      <c r="B116" s="1">
        <v>-0.56900980694403858</v>
      </c>
      <c r="C116" s="1">
        <v>-0.76694545657399871</v>
      </c>
      <c r="D116" s="1">
        <v>-0.33245613014471048</v>
      </c>
      <c r="E116" s="2">
        <f>SQRT(horizons_results_fin_use___Copy__2[[#This Row],[X (Position in AU)]]^2+horizons_results_fin_use___Copy__2[[#This Row],[Y (Position in AU)]]^2+horizons_results_fin_use___Copy__2[[#This Row],[Z (Position in AU)]]^2)</f>
        <v>1.0111896816269379</v>
      </c>
    </row>
    <row r="117" spans="1:5" x14ac:dyDescent="0.3">
      <c r="A117" s="1">
        <f t="shared" si="1"/>
        <v>116</v>
      </c>
      <c r="B117" s="1">
        <v>-0.55497917352985426</v>
      </c>
      <c r="C117" s="1">
        <v>-0.77577975225396512</v>
      </c>
      <c r="D117" s="1">
        <v>-0.33628570863594109</v>
      </c>
      <c r="E117" s="2">
        <f>SQRT(horizons_results_fin_use___Copy__2[[#This Row],[X (Position in AU)]]^2+horizons_results_fin_use___Copy__2[[#This Row],[Y (Position in AU)]]^2+horizons_results_fin_use___Copy__2[[#This Row],[Z (Position in AU)]]^2)</f>
        <v>1.0113971449889902</v>
      </c>
    </row>
    <row r="118" spans="1:5" x14ac:dyDescent="0.3">
      <c r="A118" s="1">
        <f t="shared" si="1"/>
        <v>117</v>
      </c>
      <c r="B118" s="1">
        <v>-0.54078926335127053</v>
      </c>
      <c r="C118" s="1">
        <v>-0.78439057195739148</v>
      </c>
      <c r="D118" s="1">
        <v>-0.34001823654700131</v>
      </c>
      <c r="E118" s="2">
        <f>SQRT(horizons_results_fin_use___Copy__2[[#This Row],[X (Position in AU)]]^2+horizons_results_fin_use___Copy__2[[#This Row],[Y (Position in AU)]]^2+horizons_results_fin_use___Copy__2[[#This Row],[Z (Position in AU)]]^2)</f>
        <v>1.0115997221807578</v>
      </c>
    </row>
    <row r="119" spans="1:5" x14ac:dyDescent="0.3">
      <c r="A119" s="1">
        <f t="shared" si="1"/>
        <v>118</v>
      </c>
      <c r="B119" s="1">
        <v>-0.52644471838298768</v>
      </c>
      <c r="C119" s="1">
        <v>-0.79277552500632031</v>
      </c>
      <c r="D119" s="1">
        <v>-0.34365269226205652</v>
      </c>
      <c r="E119" s="2">
        <f>SQRT(horizons_results_fin_use___Copy__2[[#This Row],[X (Position in AU)]]^2+horizons_results_fin_use___Copy__2[[#This Row],[Y (Position in AU)]]^2+horizons_results_fin_use___Copy__2[[#This Row],[Z (Position in AU)]]^2)</f>
        <v>1.0117975328401181</v>
      </c>
    </row>
    <row r="120" spans="1:5" x14ac:dyDescent="0.3">
      <c r="A120" s="1">
        <f t="shared" si="1"/>
        <v>119</v>
      </c>
      <c r="B120" s="1">
        <v>-0.51195020166666483</v>
      </c>
      <c r="C120" s="1">
        <v>-0.80093241130380588</v>
      </c>
      <c r="D120" s="1">
        <v>-0.34718814859317132</v>
      </c>
      <c r="E120" s="2">
        <f>SQRT(horizons_results_fin_use___Copy__2[[#This Row],[X (Position in AU)]]^2+horizons_results_fin_use___Copy__2[[#This Row],[Y (Position in AU)]]^2+horizons_results_fin_use___Copy__2[[#This Row],[Z (Position in AU)]]^2)</f>
        <v>1.0119907840425335</v>
      </c>
    </row>
    <row r="121" spans="1:5" x14ac:dyDescent="0.3">
      <c r="A121" s="1">
        <f t="shared" si="1"/>
        <v>120</v>
      </c>
      <c r="B121" s="1">
        <v>-0.49731035327388551</v>
      </c>
      <c r="C121" s="1">
        <v>-0.80885920304788372</v>
      </c>
      <c r="D121" s="1">
        <v>-0.35062376115229149</v>
      </c>
      <c r="E121" s="2">
        <f>SQRT(horizons_results_fin_use___Copy__2[[#This Row],[X (Position in AU)]]^2+horizons_results_fin_use___Copy__2[[#This Row],[Y (Position in AU)]]^2+horizons_results_fin_use___Copy__2[[#This Row],[Z (Position in AU)]]^2)</f>
        <v>1.0121797368616077</v>
      </c>
    </row>
    <row r="122" spans="1:5" x14ac:dyDescent="0.3">
      <c r="A122" s="1">
        <f t="shared" si="1"/>
        <v>121</v>
      </c>
      <c r="B122" s="1">
        <v>-0.48252976254604102</v>
      </c>
      <c r="C122" s="1">
        <v>-0.81655401650933146</v>
      </c>
      <c r="D122" s="1">
        <v>-0.35395875212453121</v>
      </c>
      <c r="E122" s="2">
        <f>SQRT(horizons_results_fin_use___Copy__2[[#This Row],[X (Position in AU)]]^2+horizons_results_fin_use___Copy__2[[#This Row],[Y (Position in AU)]]^2+horizons_results_fin_use___Copy__2[[#This Row],[Z (Position in AU)]]^2)</f>
        <v>1.0123646733395115</v>
      </c>
    </row>
    <row r="123" spans="1:5" x14ac:dyDescent="0.3">
      <c r="A123" s="1">
        <f t="shared" si="1"/>
        <v>122</v>
      </c>
      <c r="B123" s="1">
        <v>-0.46761295643370532</v>
      </c>
      <c r="C123" s="1">
        <v>-0.82401508238635834</v>
      </c>
      <c r="D123" s="1">
        <v>-0.35719239396938968</v>
      </c>
      <c r="E123" s="2">
        <f>SQRT(horizons_results_fin_use___Copy__2[[#This Row],[X (Position in AU)]]^2+horizons_results_fin_use___Copy__2[[#This Row],[Y (Position in AU)]]^2+horizons_results_fin_use___Copy__2[[#This Row],[Z (Position in AU)]]^2)</f>
        <v>1.012545870237221</v>
      </c>
    </row>
    <row r="124" spans="1:5" x14ac:dyDescent="0.3">
      <c r="A124" s="1">
        <f t="shared" si="1"/>
        <v>123</v>
      </c>
      <c r="B124" s="1">
        <v>-0.45256439952753691</v>
      </c>
      <c r="C124" s="1">
        <v>-0.83124072022648421</v>
      </c>
      <c r="D124" s="1">
        <v>-0.36032399578685181</v>
      </c>
      <c r="E124" s="2">
        <f>SQRT(horizons_results_fin_use___Copy__2[[#This Row],[X (Position in AU)]]^2+horizons_results_fin_use___Copy__2[[#This Row],[Y (Position in AU)]]^2+horizons_results_fin_use___Copy__2[[#This Row],[Z (Position in AU)]]^2)</f>
        <v>1.0127235815473872</v>
      </c>
    </row>
    <row r="125" spans="1:5" x14ac:dyDescent="0.3">
      <c r="A125" s="1">
        <f t="shared" si="1"/>
        <v>124</v>
      </c>
      <c r="B125" s="1">
        <v>-0.43738850054677908</v>
      </c>
      <c r="C125" s="1">
        <v>-0.83822931885276086</v>
      </c>
      <c r="D125" s="1">
        <v>-0.36335289315837782</v>
      </c>
      <c r="E125" s="2">
        <f>SQRT(horizons_results_fin_use___Copy__2[[#This Row],[X (Position in AU)]]^2+horizons_results_fin_use___Copy__2[[#This Row],[Y (Position in AU)]]^2+horizons_results_fin_use___Copy__2[[#This Row],[Z (Position in AU)]]^2)</f>
        <v>1.0128980286097347</v>
      </c>
    </row>
    <row r="126" spans="1:5" x14ac:dyDescent="0.3">
      <c r="A126" s="1">
        <f t="shared" si="1"/>
        <v>125</v>
      </c>
      <c r="B126" s="1">
        <v>-0.42208962129126182</v>
      </c>
      <c r="C126" s="1">
        <v>-0.84497932233209072</v>
      </c>
      <c r="D126" s="1">
        <v>-0.36627844104821061</v>
      </c>
      <c r="E126" s="2">
        <f>SQRT(horizons_results_fin_use___Copy__2[[#This Row],[X (Position in AU)]]^2+horizons_results_fin_use___Copy__2[[#This Row],[Y (Position in AU)]]^2+horizons_results_fin_use___Copy__2[[#This Row],[Z (Position in AU)]]^2)</f>
        <v>1.0130693954252628</v>
      </c>
    </row>
    <row r="127" spans="1:5" x14ac:dyDescent="0.3">
      <c r="A127" s="1">
        <f t="shared" si="1"/>
        <v>126</v>
      </c>
      <c r="B127" s="1">
        <v>-0.40667208582874731</v>
      </c>
      <c r="C127" s="1">
        <v>-0.8514892200425962</v>
      </c>
      <c r="D127" s="1">
        <v>-0.36910000890335948</v>
      </c>
      <c r="E127" s="2">
        <f>SQRT(horizons_results_fin_use___Copy__2[[#This Row],[X (Position in AU)]]^2+horizons_results_fin_use___Copy__2[[#This Row],[Y (Position in AU)]]^2+horizons_results_fin_use___Copy__2[[#This Row],[Z (Position in AU)]]^2)</f>
        <v>1.0132378268765496</v>
      </c>
    </row>
    <row r="128" spans="1:5" x14ac:dyDescent="0.3">
      <c r="A128" s="1">
        <f t="shared" si="1"/>
        <v>127</v>
      </c>
      <c r="B128" s="1">
        <v>-0.39114018910540121</v>
      </c>
      <c r="C128" s="1">
        <v>-0.85775753938423371</v>
      </c>
      <c r="D128" s="1">
        <v>-0.37181697714401618</v>
      </c>
      <c r="E128" s="2">
        <f>SQRT(horizons_results_fin_use___Copy__2[[#This Row],[X (Position in AU)]]^2+horizons_results_fin_use___Copy__2[[#This Row],[Y (Position in AU)]]^2+horizons_results_fin_use___Copy__2[[#This Row],[Z (Position in AU)]]^2)</f>
        <v>1.0134034282537325</v>
      </c>
    </row>
    <row r="129" spans="1:5" x14ac:dyDescent="0.3">
      <c r="A129" s="1">
        <f t="shared" si="1"/>
        <v>128</v>
      </c>
      <c r="B129" s="1">
        <v>-0.37549820498764902</v>
      </c>
      <c r="C129" s="1">
        <v>-0.86378284010174144</v>
      </c>
      <c r="D129" s="1">
        <v>-0.37442873449702913</v>
      </c>
      <c r="E129" s="2">
        <f>SQRT(horizons_results_fin_use___Copy__2[[#This Row],[X (Position in AU)]]^2+horizons_results_fin_use___Copy__2[[#This Row],[Y (Position in AU)]]^2+horizons_results_fin_use___Copy__2[[#This Row],[Z (Position in AU)]]^2)</f>
        <v>1.0135662652339135</v>
      </c>
    </row>
    <row r="130" spans="1:5" x14ac:dyDescent="0.3">
      <c r="A130" s="1">
        <f t="shared" si="1"/>
        <v>129</v>
      </c>
      <c r="B130" s="1">
        <v>-0.35975039404702902</v>
      </c>
      <c r="C130" s="1">
        <v>-0.86956370968548613</v>
      </c>
      <c r="D130" s="1">
        <v>-0.37693467590188112</v>
      </c>
      <c r="E130" s="2">
        <f>SQRT(horizons_results_fin_use___Copy__2[[#This Row],[X (Position in AU)]]^2+horizons_results_fin_use___Copy__2[[#This Row],[Y (Position in AU)]]^2+horizons_results_fin_use___Copy__2[[#This Row],[Z (Position in AU)]]^2)</f>
        <v>1.0137263640234642</v>
      </c>
    </row>
    <row r="131" spans="1:5" x14ac:dyDescent="0.3">
      <c r="A131" s="1">
        <f t="shared" si="1"/>
        <v>130</v>
      </c>
      <c r="B131" s="1">
        <v>-0.34390101136608631</v>
      </c>
      <c r="C131" s="1">
        <v>-0.87509875969178741</v>
      </c>
      <c r="D131" s="1">
        <v>-0.37933420091684822</v>
      </c>
      <c r="E131" s="2">
        <f>SQRT(horizons_results_fin_use___Copy__2[[#This Row],[X (Position in AU)]]^2+horizons_results_fin_use___Copy__2[[#This Row],[Y (Position in AU)]]^2+horizons_results_fin_use___Copy__2[[#This Row],[Z (Position in AU)]]^2)</f>
        <v>1.0138837116839117</v>
      </c>
    </row>
    <row r="132" spans="1:5" x14ac:dyDescent="0.3">
      <c r="A132" s="1">
        <f t="shared" ref="A132:A195" si="2">A131+1</f>
        <v>131</v>
      </c>
      <c r="B132" s="1">
        <v>-0.3279543144570225</v>
      </c>
      <c r="C132" s="1">
        <v>-0.88038662300862158</v>
      </c>
      <c r="D132" s="1">
        <v>-0.38162671264271703</v>
      </c>
      <c r="E132" s="2">
        <f>SQRT(horizons_results_fin_use___Copy__2[[#This Row],[X (Position in AU)]]^2+horizons_results_fin_use___Copy__2[[#This Row],[Y (Position in AU)]]^2+horizons_results_fin_use___Copy__2[[#This Row],[Z (Position in AU)]]^2)</f>
        <v>1.0140382567467499</v>
      </c>
    </row>
    <row r="133" spans="1:5" x14ac:dyDescent="0.3">
      <c r="A133" s="1">
        <f t="shared" si="2"/>
        <v>132</v>
      </c>
      <c r="B133" s="1">
        <v>-0.31191457120061999</v>
      </c>
      <c r="C133" s="1">
        <v>-0.8854259520935841</v>
      </c>
      <c r="D133" s="1">
        <v>-0.38381161717382539</v>
      </c>
      <c r="E133" s="2">
        <f>SQRT(horizons_results_fin_use___Copy__2[[#This Row],[X (Position in AU)]]^2+horizons_results_fin_use___Copy__2[[#This Row],[Y (Position in AU)]]^2+horizons_results_fin_use___Copy__2[[#This Row],[Z (Position in AU)]]^2)</f>
        <v>1.01418991014784</v>
      </c>
    </row>
    <row r="134" spans="1:5" x14ac:dyDescent="0.3">
      <c r="A134" s="1">
        <f t="shared" si="2"/>
        <v>133</v>
      </c>
      <c r="B134" s="1">
        <v>-0.29578606764027982</v>
      </c>
      <c r="C134" s="1">
        <v>-0.89021541809092164</v>
      </c>
      <c r="D134" s="1">
        <v>-0.3858883235192338</v>
      </c>
      <c r="E134" s="2">
        <f>SQRT(horizons_results_fin_use___Copy__2[[#This Row],[X (Position in AU)]]^2+horizons_results_fin_use___Copy__2[[#This Row],[Y (Position in AU)]]^2+horizons_results_fin_use___Copy__2[[#This Row],[Z (Position in AU)]]^2)</f>
        <v>1.0143385463667343</v>
      </c>
    </row>
    <row r="135" spans="1:5" x14ac:dyDescent="0.3">
      <c r="A135" s="1">
        <f t="shared" si="2"/>
        <v>134</v>
      </c>
      <c r="B135" s="1">
        <v>-0.27957311555659881</v>
      </c>
      <c r="C135" s="1">
        <v>-0.8947537105868153</v>
      </c>
      <c r="D135" s="1">
        <v>-0.38785624386260281</v>
      </c>
      <c r="E135" s="2">
        <f>SQRT(horizons_results_fin_use___Copy__2[[#This Row],[X (Position in AU)]]^2+horizons_results_fin_use___Copy__2[[#This Row],[Y (Position in AU)]]^2+horizons_results_fin_use___Copy__2[[#This Row],[Z (Position in AU)]]^2)</f>
        <v>1.0144840045333907</v>
      </c>
    </row>
    <row r="136" spans="1:5" x14ac:dyDescent="0.3">
      <c r="A136" s="1">
        <f t="shared" si="2"/>
        <v>135</v>
      </c>
      <c r="B136" s="1">
        <v>-0.26328005999286869</v>
      </c>
      <c r="C136" s="1">
        <v>-0.89903953768712819</v>
      </c>
      <c r="D136" s="1">
        <v>-0.38971479400069642</v>
      </c>
      <c r="E136" s="2">
        <f>SQRT(horizons_results_fin_use___Copy__2[[#This Row],[X (Position in AU)]]^2+horizons_results_fin_use___Copy__2[[#This Row],[Y (Position in AU)]]^2+horizons_results_fin_use___Copy__2[[#This Row],[Z (Position in AU)]]^2)</f>
        <v>1.0146260892454615</v>
      </c>
    </row>
    <row r="137" spans="1:5" x14ac:dyDescent="0.3">
      <c r="A137" s="1">
        <f t="shared" si="2"/>
        <v>136</v>
      </c>
      <c r="B137" s="1">
        <v>-0.24691128724005851</v>
      </c>
      <c r="C137" s="1">
        <v>-0.90307162618675496</v>
      </c>
      <c r="D137" s="1">
        <v>-0.39146339386096413</v>
      </c>
      <c r="E137" s="2">
        <f>SQRT(horizons_results_fin_use___Copy__2[[#This Row],[X (Position in AU)]]^2+horizons_results_fin_use___Copy__2[[#This Row],[Y (Position in AU)]]^2+horizons_results_fin_use___Copy__2[[#This Row],[Z (Position in AU)]]^2)</f>
        <v>1.0147645709834756</v>
      </c>
    </row>
    <row r="138" spans="1:5" x14ac:dyDescent="0.3">
      <c r="A138" s="1">
        <f t="shared" si="2"/>
        <v>137</v>
      </c>
      <c r="B138" s="1">
        <v>-0.2304712341171056</v>
      </c>
      <c r="C138" s="1">
        <v>-0.9068487219100112</v>
      </c>
      <c r="D138" s="1">
        <v>-0.39310146817833719</v>
      </c>
      <c r="E138" s="2">
        <f>SQRT(horizons_results_fin_use___Copy__2[[#This Row],[X (Position in AU)]]^2+horizons_results_fin_use___Copy__2[[#This Row],[Y (Position in AU)]]^2+horizons_results_fin_use___Copy__2[[#This Row],[Z (Position in AU)]]^2)</f>
        <v>1.0148991863575647</v>
      </c>
    </row>
    <row r="139" spans="1:5" x14ac:dyDescent="0.3">
      <c r="A139" s="1">
        <f t="shared" si="2"/>
        <v>138</v>
      </c>
      <c r="B139" s="1">
        <v>-0.21396439954613861</v>
      </c>
      <c r="C139" s="1">
        <v>-0.91036959087550096</v>
      </c>
      <c r="D139" s="1">
        <v>-0.3946284477233859</v>
      </c>
      <c r="E139" s="2">
        <f>SQRT(horizons_results_fin_use___Copy__2[[#This Row],[X (Position in AU)]]^2+horizons_results_fin_use___Copy__2[[#This Row],[Y (Position in AU)]]^2+horizons_results_fin_use___Copy__2[[#This Row],[Z (Position in AU)]]^2)</f>
        <v>1.015029638984269</v>
      </c>
    </row>
    <row r="140" spans="1:5" x14ac:dyDescent="0.3">
      <c r="A140" s="1">
        <f t="shared" si="2"/>
        <v>139</v>
      </c>
      <c r="B140" s="1">
        <v>-0.19739535919841089</v>
      </c>
      <c r="C140" s="1">
        <v>-0.9136330227597047</v>
      </c>
      <c r="D140" s="1">
        <v>-0.39604377189881601</v>
      </c>
      <c r="E140" s="2">
        <f>SQRT(horizons_results_fin_use___Copy__2[[#This Row],[X (Position in AU)]]^2+horizons_results_fin_use___Copy__2[[#This Row],[Y (Position in AU)]]^2+horizons_results_fin_use___Copy__2[[#This Row],[Z (Position in AU)]]^2)</f>
        <v>1.015155602540786</v>
      </c>
    </row>
    <row r="141" spans="1:5" x14ac:dyDescent="0.3">
      <c r="A141" s="1">
        <f t="shared" si="2"/>
        <v>140</v>
      </c>
      <c r="B141" s="1">
        <v>-0.18076878307392941</v>
      </c>
      <c r="C141" s="1">
        <v>-0.91663783904535212</v>
      </c>
      <c r="D141" s="1">
        <v>-0.39734689396200418</v>
      </c>
      <c r="E141" s="2">
        <f>SQRT(horizons_results_fin_use___Copy__2[[#This Row],[X (Position in AU)]]^2+horizons_results_fin_use___Copy__2[[#This Row],[Y (Position in AU)]]^2+horizons_results_fin_use___Copy__2[[#This Row],[Z (Position in AU)]]^2)</f>
        <v>1.0152767283085999</v>
      </c>
    </row>
    <row r="142" spans="1:5" x14ac:dyDescent="0.3">
      <c r="A142" s="1">
        <f t="shared" si="2"/>
        <v>141</v>
      </c>
      <c r="B142" s="1">
        <v>-0.16408945400536271</v>
      </c>
      <c r="C142" s="1">
        <v>-0.9193829088053207</v>
      </c>
      <c r="D142" s="1">
        <v>-0.39853729034271279</v>
      </c>
      <c r="E142" s="2">
        <f>SQRT(horizons_results_fin_use___Copy__2[[#This Row],[X (Position in AU)]]^2+horizons_results_fin_use___Copy__2[[#This Row],[Y (Position in AU)]]^2+horizons_results_fin_use___Copy__2[[#This Row],[Z (Position in AU)]]^2)</f>
        <v>1.0153926598675127</v>
      </c>
    </row>
    <row r="143" spans="1:5" x14ac:dyDescent="0.3">
      <c r="A143" s="1">
        <f t="shared" si="2"/>
        <v>142</v>
      </c>
      <c r="B143" s="1">
        <v>-0.14736228235405119</v>
      </c>
      <c r="C143" s="1">
        <v>-0.92186717448326361</v>
      </c>
      <c r="D143" s="1">
        <v>-0.39961447508419978</v>
      </c>
      <c r="E143" s="2">
        <f>SQRT(horizons_results_fin_use___Copy__2[[#This Row],[X (Position in AU)]]^2+horizons_results_fin_use___Copy__2[[#This Row],[Y (Position in AU)]]^2+horizons_results_fin_use___Copy__2[[#This Row],[Z (Position in AU)]]^2)</f>
        <v>1.0155030567886891</v>
      </c>
    </row>
    <row r="144" spans="1:5" x14ac:dyDescent="0.3">
      <c r="A144" s="1">
        <f t="shared" si="2"/>
        <v>143</v>
      </c>
      <c r="B144" s="1">
        <v>-0.13059230963814611</v>
      </c>
      <c r="C144" s="1">
        <v>-0.92408968738855091</v>
      </c>
      <c r="D144" s="1">
        <v>-0.40057801891473221</v>
      </c>
      <c r="E144" s="2">
        <f>SQRT(horizons_results_fin_use___Copy__2[[#This Row],[X (Position in AU)]]^2+horizons_results_fin_use___Copy__2[[#This Row],[Y (Position in AU)]]^2+horizons_results_fin_use___Copy__2[[#This Row],[Z (Position in AU)]]^2)</f>
        <v>1.0156076264543048</v>
      </c>
    </row>
    <row r="145" spans="1:5" x14ac:dyDescent="0.3">
      <c r="A145" s="1">
        <f t="shared" si="2"/>
        <v>144</v>
      </c>
      <c r="B145" s="1">
        <v>-0.11378469368156401</v>
      </c>
      <c r="C145" s="1">
        <v>-0.92604964789030186</v>
      </c>
      <c r="D145" s="1">
        <v>-0.40142756993880341</v>
      </c>
      <c r="E145" s="2">
        <f>SQRT(horizons_results_fin_use___Copy__2[[#This Row],[X (Position in AU)]]^2+horizons_results_fin_use___Copy__2[[#This Row],[Y (Position in AU)]]^2+horizons_results_fin_use___Copy__2[[#This Row],[Z (Position in AU)]]^2)</f>
        <v>1.0157061586802221</v>
      </c>
    </row>
    <row r="146" spans="1:5" x14ac:dyDescent="0.3">
      <c r="A146" s="1">
        <f t="shared" si="2"/>
        <v>145</v>
      </c>
      <c r="B146" s="1">
        <v>-9.6944672215855926E-2</v>
      </c>
      <c r="C146" s="1">
        <v>-0.92774644047443666</v>
      </c>
      <c r="D146" s="1">
        <v>-0.40216287058461209</v>
      </c>
      <c r="E146" s="2">
        <f>SQRT(horizons_results_fin_use___Copy__2[[#This Row],[X (Position in AU)]]^2+horizons_results_fin_use___Copy__2[[#This Row],[Y (Position in AU)]]^2+horizons_results_fin_use___Copy__2[[#This Row],[Z (Position in AU)]]^2)</f>
        <v>1.0157985537304544</v>
      </c>
    </row>
    <row r="147" spans="1:5" x14ac:dyDescent="0.3">
      <c r="A147" s="1">
        <f t="shared" si="2"/>
        <v>146</v>
      </c>
      <c r="B147" s="1">
        <v>-8.0077510125019083E-2</v>
      </c>
      <c r="C147" s="1">
        <v>-0.9291796526294066</v>
      </c>
      <c r="D147" s="1">
        <v>-0.40278376519749037</v>
      </c>
      <c r="E147" s="2">
        <f>SQRT(horizons_results_fin_use___Copy__2[[#This Row],[X (Position in AU)]]^2+horizons_results_fin_use___Copy__2[[#This Row],[Y (Position in AU)]]^2+horizons_results_fin_use___Copy__2[[#This Row],[Z (Position in AU)]]^2)</f>
        <v>1.0158848340215512</v>
      </c>
    </row>
    <row r="148" spans="1:5" x14ac:dyDescent="0.3">
      <c r="A148" s="1">
        <f t="shared" si="2"/>
        <v>147</v>
      </c>
      <c r="B148" s="1">
        <v>-6.3188443094852678E-2</v>
      </c>
      <c r="C148" s="1">
        <v>-0.93034907130881939</v>
      </c>
      <c r="D148" s="1">
        <v>-0.40329019556255408</v>
      </c>
      <c r="E148" s="2">
        <f>SQRT(horizons_results_fin_use___Copy__2[[#This Row],[X (Position in AU)]]^2+horizons_results_fin_use___Copy__2[[#This Row],[Y (Position in AU)]]^2+horizons_results_fin_use___Copy__2[[#This Row],[Z (Position in AU)]]^2)</f>
        <v>1.0159651350626249</v>
      </c>
    </row>
    <row r="149" spans="1:5" x14ac:dyDescent="0.3">
      <c r="A149" s="1">
        <f t="shared" si="2"/>
        <v>148</v>
      </c>
      <c r="B149" s="1">
        <v>-4.6282631860408659E-2</v>
      </c>
      <c r="C149" s="1">
        <v>-0.93125465927592188</v>
      </c>
      <c r="D149" s="1">
        <v>-0.40368218624696323</v>
      </c>
      <c r="E149" s="2">
        <f>SQRT(horizons_results_fin_use___Copy__2[[#This Row],[X (Position in AU)]]^2+horizons_results_fin_use___Copy__2[[#This Row],[Y (Position in AU)]]^2+horizons_results_fin_use___Copy__2[[#This Row],[Z (Position in AU)]]^2)</f>
        <v>1.0160396793079329</v>
      </c>
    </row>
    <row r="150" spans="1:5" x14ac:dyDescent="0.3">
      <c r="A150" s="1">
        <f t="shared" si="2"/>
        <v>149</v>
      </c>
      <c r="B150" s="1">
        <v>-2.9365135571038349E-2</v>
      </c>
      <c r="C150" s="1">
        <v>-0.93189652043241822</v>
      </c>
      <c r="D150" s="1">
        <v>-0.40395982499199329</v>
      </c>
      <c r="E150" s="2">
        <f>SQRT(horizons_results_fin_use___Copy__2[[#This Row],[X (Position in AU)]]^2+horizons_results_fin_use___Copy__2[[#This Row],[Y (Position in AU)]]^2+horizons_results_fin_use___Copy__2[[#This Row],[Z (Position in AU)]]^2)</f>
        <v>1.016108742305033</v>
      </c>
    </row>
    <row r="151" spans="1:5" x14ac:dyDescent="0.3">
      <c r="A151" s="1">
        <f t="shared" si="2"/>
        <v>150</v>
      </c>
      <c r="B151" s="1">
        <v>-1.2440904455692721E-2</v>
      </c>
      <c r="C151" s="1">
        <v>-0.93227486451026775</v>
      </c>
      <c r="D151" s="1">
        <v>-0.40412324367074381</v>
      </c>
      <c r="E151" s="2">
        <f>SQRT(horizons_results_fin_use___Copy__2[[#This Row],[X (Position in AU)]]^2+horizons_results_fin_use___Copy__2[[#This Row],[Y (Position in AU)]]^2+horizons_results_fin_use___Copy__2[[#This Row],[Z (Position in AU)]]^2)</f>
        <v>1.0161726207570627</v>
      </c>
    </row>
    <row r="152" spans="1:5" x14ac:dyDescent="0.3">
      <c r="A152" s="1">
        <f t="shared" si="2"/>
        <v>151</v>
      </c>
      <c r="B152" s="1">
        <v>4.485213810164531E-3</v>
      </c>
      <c r="C152" s="1">
        <v>-0.93238997811897062</v>
      </c>
      <c r="D152" s="1">
        <v>-0.40417260325955701</v>
      </c>
      <c r="E152" s="2">
        <f>SQRT(horizons_results_fin_use___Copy__2[[#This Row],[X (Position in AU)]]^2+horizons_results_fin_use___Copy__2[[#This Row],[Y (Position in AU)]]^2+horizons_results_fin_use___Copy__2[[#This Row],[Z (Position in AU)]]^2)</f>
        <v>1.0162316082789518</v>
      </c>
    </row>
    <row r="153" spans="1:5" x14ac:dyDescent="0.3">
      <c r="A153" s="1">
        <f t="shared" si="2"/>
        <v>152</v>
      </c>
      <c r="B153" s="1">
        <v>2.1408461035211861E-2</v>
      </c>
      <c r="C153" s="1">
        <v>-0.93224220449413397</v>
      </c>
      <c r="D153" s="1">
        <v>-0.40410808374041712</v>
      </c>
      <c r="E153" s="2">
        <f>SQRT(horizons_results_fin_use___Copy__2[[#This Row],[X (Position in AU)]]^2+horizons_results_fin_use___Copy__2[[#This Row],[Y (Position in AU)]]^2+horizons_results_fin_use___Copy__2[[#This Row],[Z (Position in AU)]]^2)</f>
        <v>1.016285980119932</v>
      </c>
    </row>
    <row r="154" spans="1:5" x14ac:dyDescent="0.3">
      <c r="A154" s="1">
        <f t="shared" si="2"/>
        <v>153</v>
      </c>
      <c r="B154" s="1">
        <v>3.8324154134141593E-2</v>
      </c>
      <c r="C154" s="1">
        <v>-0.93183193096941352</v>
      </c>
      <c r="D154" s="1">
        <v>-0.40392987816373688</v>
      </c>
      <c r="E154" s="2">
        <f>SQRT(horizons_results_fin_use___Copy__2[[#This Row],[X (Position in AU)]]^2+horizons_results_fin_use___Copy__2[[#This Row],[Y (Position in AU)]]^2+horizons_results_fin_use___Copy__2[[#This Row],[Z (Position in AU)]]^2)</f>
        <v>1.0163359852123974</v>
      </c>
    </row>
    <row r="155" spans="1:5" x14ac:dyDescent="0.3">
      <c r="A155" s="1">
        <f t="shared" si="2"/>
        <v>154</v>
      </c>
      <c r="B155" s="1">
        <v>5.5227672358156149E-2</v>
      </c>
      <c r="C155" s="1">
        <v>-0.93115958181350711</v>
      </c>
      <c r="D155" s="1">
        <v>-0.40363818948480928</v>
      </c>
      <c r="E155" s="2">
        <f>SQRT(horizons_results_fin_use___Copy__2[[#This Row],[X (Position in AU)]]^2+horizons_results_fin_use___Copy__2[[#This Row],[Y (Position in AU)]]^2+horizons_results_fin_use___Copy__2[[#This Row],[Z (Position in AU)]]^2)</f>
        <v>1.0163818429152403</v>
      </c>
    </row>
    <row r="156" spans="1:5" x14ac:dyDescent="0.3">
      <c r="A156" s="1">
        <f t="shared" si="2"/>
        <v>155</v>
      </c>
      <c r="B156" s="1">
        <v>7.2114447021632319E-2</v>
      </c>
      <c r="C156" s="1">
        <v>-0.93022561407085103</v>
      </c>
      <c r="D156" s="1">
        <v>-0.40323322888083329</v>
      </c>
      <c r="E156" s="2">
        <f>SQRT(horizons_results_fin_use___Copy__2[[#This Row],[X (Position in AU)]]^2+horizons_results_fin_use___Copy__2[[#This Row],[Y (Position in AU)]]^2+horizons_results_fin_use___Copy__2[[#This Row],[Z (Position in AU)]]^2)</f>
        <v>1.0164237420566238</v>
      </c>
    </row>
    <row r="157" spans="1:5" x14ac:dyDescent="0.3">
      <c r="A157" s="1">
        <f t="shared" si="2"/>
        <v>156</v>
      </c>
      <c r="B157" s="1">
        <v>8.8979953397972378E-2</v>
      </c>
      <c r="C157" s="1">
        <v>-0.92903051466378639</v>
      </c>
      <c r="D157" s="1">
        <v>-0.40271521464095172</v>
      </c>
      <c r="E157" s="2">
        <f>SQRT(horizons_results_fin_use___Copy__2[[#This Row],[X (Position in AU)]]^2+horizons_results_fin_use___Copy__2[[#This Row],[Y (Position in AU)]]^2+horizons_results_fin_use___Copy__2[[#This Row],[Z (Position in AU)]]^2)</f>
        <v>1.0164618405953432</v>
      </c>
    </row>
    <row r="158" spans="1:5" x14ac:dyDescent="0.3">
      <c r="A158" s="1">
        <f t="shared" si="2"/>
        <v>157</v>
      </c>
      <c r="B158" s="1">
        <v>0.1058197039347204</v>
      </c>
      <c r="C158" s="1">
        <v>-0.92757479775615514</v>
      </c>
      <c r="D158" s="1">
        <v>-0.40208437113994749</v>
      </c>
      <c r="E158" s="2">
        <f>SQRT(horizons_results_fin_use___Copy__2[[#This Row],[X (Position in AU)]]^2+horizons_results_fin_use___Copy__2[[#This Row],[Y (Position in AU)]]^2+horizons_results_fin_use___Copy__2[[#This Row],[Z (Position in AU)]]^2)</f>
        <v>1.0164962649652045</v>
      </c>
    </row>
    <row r="159" spans="1:5" x14ac:dyDescent="0.3">
      <c r="A159" s="1">
        <f t="shared" si="2"/>
        <v>158</v>
      </c>
      <c r="B159" s="1">
        <v>0.1226292418698563</v>
      </c>
      <c r="C159" s="1">
        <v>-0.92585900201153093</v>
      </c>
      <c r="D159" s="1">
        <v>-0.40134092774534508</v>
      </c>
      <c r="E159" s="2">
        <f>SQRT(horizons_results_fin_use___Copy__2[[#This Row],[X (Position in AU)]]^2+horizons_results_fin_use___Copy__2[[#This Row],[Y (Position in AU)]]^2+horizons_results_fin_use___Copy__2[[#This Row],[Z (Position in AU)]]^2)</f>
        <v>1.0165271087633905</v>
      </c>
    </row>
    <row r="160" spans="1:5" x14ac:dyDescent="0.3">
      <c r="A160" s="1">
        <f t="shared" si="2"/>
        <v>159</v>
      </c>
      <c r="B160" s="1">
        <v>0.13940413451984959</v>
      </c>
      <c r="C160" s="1">
        <v>-0.92388368782807351</v>
      </c>
      <c r="D160" s="1">
        <v>-0.40048511773662882</v>
      </c>
      <c r="E160" s="2">
        <f>SQRT(horizons_results_fin_use___Copy__2[[#This Row],[X (Position in AU)]]^2+horizons_results_fin_use___Copy__2[[#This Row],[Y (Position in AU)]]^2+horizons_results_fin_use___Copy__2[[#This Row],[Z (Position in AU)]]^2)</f>
        <v>1.016554430851861</v>
      </c>
    </row>
    <row r="161" spans="1:5" x14ac:dyDescent="0.3">
      <c r="A161" s="1">
        <f t="shared" si="2"/>
        <v>160</v>
      </c>
      <c r="B161" s="1">
        <v>0.1561399658143803</v>
      </c>
      <c r="C161" s="1">
        <v>-0.92164943488276929</v>
      </c>
      <c r="D161" s="1">
        <v>-0.39951717743365828</v>
      </c>
      <c r="E161" s="2">
        <f>SQRT(horizons_results_fin_use___Copy__2[[#This Row],[X (Position in AU)]]^2+horizons_results_fin_use___Copy__2[[#This Row],[Y (Position in AU)]]^2+horizons_results_fin_use___Copy__2[[#This Row],[Z (Position in AU)]]^2)</f>
        <v>1.0165782531653926</v>
      </c>
    </row>
    <row r="162" spans="1:5" x14ac:dyDescent="0.3">
      <c r="A162" s="1">
        <f t="shared" si="2"/>
        <v>161</v>
      </c>
      <c r="B162" s="1">
        <v>0.17283232796289369</v>
      </c>
      <c r="C162" s="1">
        <v>-0.91915684038554168</v>
      </c>
      <c r="D162" s="1">
        <v>-0.39843734575226297</v>
      </c>
      <c r="E162" s="2">
        <f>SQRT(horizons_results_fin_use___Copy__2[[#This Row],[X (Position in AU)]]^2+horizons_results_fin_use___Copy__2[[#This Row],[Y (Position in AU)]]^2+horizons_results_fin_use___Copy__2[[#This Row],[Z (Position in AU)]]^2)</f>
        <v>1.0165985585798918</v>
      </c>
    </row>
    <row r="163" spans="1:5" x14ac:dyDescent="0.3">
      <c r="A163" s="1">
        <f t="shared" si="2"/>
        <v>162</v>
      </c>
      <c r="B163" s="1">
        <v>0.18947681236288999</v>
      </c>
      <c r="C163" s="1">
        <v>-0.91640651837051035</v>
      </c>
      <c r="D163" s="1">
        <v>-0.39724586435523412</v>
      </c>
      <c r="E163" s="2">
        <f>SQRT(horizons_results_fin_use___Copy__2[[#This Row],[X (Position in AU)]]^2+horizons_results_fin_use___Copy__2[[#This Row],[Y (Position in AU)]]^2+horizons_results_fin_use___Copy__2[[#This Row],[Z (Position in AU)]]^2)</f>
        <v>1.0166152891248976</v>
      </c>
    </row>
    <row r="164" spans="1:5" x14ac:dyDescent="0.3">
      <c r="A164" s="1">
        <f t="shared" si="2"/>
        <v>163</v>
      </c>
      <c r="B164" s="1">
        <v>0.20606899993612149</v>
      </c>
      <c r="C164" s="1">
        <v>-0.91339910021317228</v>
      </c>
      <c r="D164" s="1">
        <v>-0.39594297848975463</v>
      </c>
      <c r="E164" s="2">
        <f>SQRT(horizons_results_fin_use___Copy__2[[#This Row],[X (Position in AU)]]^2+horizons_results_fin_use___Copy__2[[#This Row],[Y (Position in AU)]]^2+horizons_results_fin_use___Copy__2[[#This Row],[Z (Position in AU)]]^2)</f>
        <v>1.0166283446866138</v>
      </c>
    </row>
    <row r="165" spans="1:5" x14ac:dyDescent="0.3">
      <c r="A165" s="1">
        <f t="shared" si="2"/>
        <v>164</v>
      </c>
      <c r="B165" s="1">
        <v>0.2226044509962373</v>
      </c>
      <c r="C165" s="1">
        <v>-0.9101352364607922</v>
      </c>
      <c r="D165" s="1">
        <v>-0.39452893855252669</v>
      </c>
      <c r="E165" s="2">
        <f>SQRT(horizons_results_fin_use___Copy__2[[#This Row],[X (Position in AU)]]^2+horizons_results_fin_use___Copy__2[[#This Row],[Y (Position in AU)]]^2+horizons_results_fin_use___Copy__2[[#This Row],[Z (Position in AU)]]^2)</f>
        <v>1.0166375822318698</v>
      </c>
    </row>
    <row r="166" spans="1:5" x14ac:dyDescent="0.3">
      <c r="A166" s="1">
        <f t="shared" si="2"/>
        <v>165</v>
      </c>
      <c r="B166" s="1">
        <v>0.23907869457164049</v>
      </c>
      <c r="C166" s="1">
        <v>-0.90661560010346232</v>
      </c>
      <c r="D166" s="1">
        <v>-0.39300400245398759</v>
      </c>
      <c r="E166" s="2">
        <f>SQRT(horizons_results_fin_use___Copy__2[[#This Row],[X (Position in AU)]]^2+horizons_results_fin_use___Copy__2[[#This Row],[Y (Position in AU)]]^2+horizons_results_fin_use___Copy__2[[#This Row],[Z (Position in AU)]]^2)</f>
        <v>1.0166428155915403</v>
      </c>
    </row>
    <row r="167" spans="1:5" x14ac:dyDescent="0.3">
      <c r="A167" s="1">
        <f t="shared" si="2"/>
        <v>166</v>
      </c>
      <c r="B167" s="1">
        <v>0.2554872169687642</v>
      </c>
      <c r="C167" s="1">
        <v>-0.90284089166642467</v>
      </c>
      <c r="D167" s="1">
        <v>-0.39136843899393459</v>
      </c>
      <c r="E167" s="2">
        <f>SQRT(horizons_results_fin_use___Copy__2[[#This Row],[X (Position in AU)]]^2+horizons_results_fin_use___Copy__2[[#This Row],[Y (Position in AU)]]^2+horizons_results_fin_use___Copy__2[[#This Row],[Z (Position in AU)]]^2)</f>
        <v>1.0166438160634326</v>
      </c>
    </row>
    <row r="168" spans="1:5" x14ac:dyDescent="0.3">
      <c r="A168" s="1">
        <f t="shared" si="2"/>
        <v>167</v>
      </c>
      <c r="B168" s="1">
        <v>0.27182544946608223</v>
      </c>
      <c r="C168" s="1">
        <v>-0.8988118469668227</v>
      </c>
      <c r="D168" s="1">
        <v>-0.38962253270062758</v>
      </c>
      <c r="E168" s="2">
        <f>SQRT(horizons_results_fin_use___Copy__2[[#This Row],[X (Position in AU)]]^2+horizons_results_fin_use___Copy__2[[#This Row],[Y (Position in AU)]]^2+horizons_results_fin_use___Copy__2[[#This Row],[Z (Position in AU)]]^2)</f>
        <v>1.0166403145721699</v>
      </c>
    </row>
    <row r="169" spans="1:5" x14ac:dyDescent="0.3">
      <c r="A169" s="1">
        <f t="shared" si="2"/>
        <v>168</v>
      </c>
      <c r="B169" s="1">
        <v>0.28808875560990271</v>
      </c>
      <c r="C169" s="1">
        <v>-0.89452924891997043</v>
      </c>
      <c r="D169" s="1">
        <v>-0.38776659084317933</v>
      </c>
      <c r="E169" s="2">
        <f>SQRT(horizons_results_fin_use___Copy__2[[#This Row],[X (Position in AU)]]^2+horizons_results_fin_use___Copy__2[[#This Row],[Y (Position in AU)]]^2+horizons_results_fin_use___Copy__2[[#This Row],[Z (Position in AU)]]^2)</f>
        <v>1.0166320068030172</v>
      </c>
    </row>
    <row r="170" spans="1:5" x14ac:dyDescent="0.3">
      <c r="A170" s="1">
        <f t="shared" si="2"/>
        <v>169</v>
      </c>
      <c r="B170" s="1">
        <v>0.30427241981060082</v>
      </c>
      <c r="C170" s="1">
        <v>-0.88999394508097418</v>
      </c>
      <c r="D170" s="1">
        <v>-0.38580095342403109</v>
      </c>
      <c r="E170" s="2">
        <f>SQRT(horizons_results_fin_use___Copy__2[[#This Row],[X (Position in AU)]]^2+horizons_results_fin_use___Copy__2[[#This Row],[Y (Position in AU)]]^2+horizons_results_fin_use___Copy__2[[#This Row],[Z (Position in AU)]]^2)</f>
        <v>1.0166185633761986</v>
      </c>
    </row>
    <row r="171" spans="1:5" x14ac:dyDescent="0.3">
      <c r="A171" s="1">
        <f t="shared" si="2"/>
        <v>170</v>
      </c>
      <c r="B171" s="1">
        <v>0.32037164071841329</v>
      </c>
      <c r="C171" s="1">
        <v>-0.8852068721296612</v>
      </c>
      <c r="D171" s="1">
        <v>-0.38372600661409489</v>
      </c>
      <c r="E171" s="2">
        <f>SQRT(horizons_results_fin_use___Copy__2[[#This Row],[X (Position in AU)]]^2+horizons_results_fin_use___Copy__2[[#This Row],[Y (Position in AU)]]^2+horizons_results_fin_use___Copy__2[[#This Row],[Z (Position in AU)]]^2)</f>
        <v>1.0165996472526375</v>
      </c>
    </row>
    <row r="172" spans="1:5" x14ac:dyDescent="0.3">
      <c r="A172" s="1">
        <f t="shared" si="2"/>
        <v>171</v>
      </c>
      <c r="B172" s="1">
        <v>0.33638153451689767</v>
      </c>
      <c r="C172" s="1">
        <v>-0.88016908665881211</v>
      </c>
      <c r="D172" s="1">
        <v>-0.38154219902811631</v>
      </c>
      <c r="E172" s="2">
        <f>SQRT(horizons_results_fin_use___Copy__2[[#This Row],[X (Position in AU)]]^2+horizons_results_fin_use___Copy__2[[#This Row],[Y (Position in AU)]]^2+horizons_results_fin_use___Copy__2[[#This Row],[Z (Position in AU)]]^2)</f>
        <v>1.016574939447634</v>
      </c>
    </row>
    <row r="173" spans="1:5" x14ac:dyDescent="0.3">
      <c r="A173" s="1">
        <f t="shared" si="2"/>
        <v>172</v>
      </c>
      <c r="B173" s="1">
        <v>0.3522971533941367</v>
      </c>
      <c r="C173" s="1">
        <v>-0.87488179830462776</v>
      </c>
      <c r="D173" s="1">
        <v>-0.37925005846933452</v>
      </c>
      <c r="E173" s="2">
        <f>SQRT(horizons_results_fin_use___Copy__2[[#This Row],[X (Position in AU)]]^2+horizons_results_fin_use___Copy__2[[#This Row],[Y (Position in AU)]]^2+horizons_results_fin_use___Copy__2[[#This Row],[Z (Position in AU)]]^2)</f>
        <v>1.0165441712701642</v>
      </c>
    </row>
    <row r="174" spans="1:5" x14ac:dyDescent="0.3">
      <c r="A174" s="1">
        <f t="shared" si="2"/>
        <v>173</v>
      </c>
      <c r="B174" s="1">
        <v>0.36811352147051318</v>
      </c>
      <c r="C174" s="1">
        <v>-0.86934639763274568</v>
      </c>
      <c r="D174" s="1">
        <v>-0.37685020500029359</v>
      </c>
      <c r="E174" s="2">
        <f>SQRT(horizons_results_fin_use___Copy__2[[#This Row],[X (Position in AU)]]^2+horizons_results_fin_use___Copy__2[[#This Row],[Y (Position in AU)]]^2+horizons_results_fin_use___Copy__2[[#This Row],[Z (Position in AU)]]^2)</f>
        <v>1.0165071572670883</v>
      </c>
    </row>
    <row r="175" spans="1:5" x14ac:dyDescent="0.3">
      <c r="A175" s="1">
        <f t="shared" si="2"/>
        <v>174</v>
      </c>
      <c r="B175" s="1">
        <v>0.38382568429850589</v>
      </c>
      <c r="C175" s="1">
        <v>-0.86356446981279333</v>
      </c>
      <c r="D175" s="1">
        <v>-0.3743433557778742</v>
      </c>
      <c r="E175" s="2">
        <f>SQRT(horizons_results_fin_use___Copy__2[[#This Row],[X (Position in AU)]]^2+horizons_results_fin_use___Copy__2[[#This Row],[Y (Position in AU)]]^2+horizons_results_fin_use___Copy__2[[#This Row],[Z (Position in AU)]]^2)</f>
        <v>1.0164638200473775</v>
      </c>
    </row>
    <row r="176" spans="1:5" x14ac:dyDescent="0.3">
      <c r="A176" s="1">
        <f t="shared" si="2"/>
        <v>175</v>
      </c>
      <c r="B176" s="1">
        <v>0.39942876153621781</v>
      </c>
      <c r="C176" s="1">
        <v>-0.85753778823997118</v>
      </c>
      <c r="D176" s="1">
        <v>-0.37173031908076959</v>
      </c>
      <c r="E176" s="2">
        <f>SQRT(horizons_results_fin_use___Copy__2[[#This Row],[X (Position in AU)]]^2+horizons_results_fin_use___Copy__2[[#This Row],[Y (Position in AU)]]^2+horizons_results_fin_use___Copy__2[[#This Row],[Z (Position in AU)]]^2)</f>
        <v>1.0164141989984934</v>
      </c>
    </row>
    <row r="177" spans="1:5" x14ac:dyDescent="0.3">
      <c r="A177" s="1">
        <f t="shared" si="2"/>
        <v>176</v>
      </c>
      <c r="B177" s="1">
        <v>0.41491799001439522</v>
      </c>
      <c r="C177" s="1">
        <v>-0.85126828920441833</v>
      </c>
      <c r="D177" s="1">
        <v>-0.36901197876326242</v>
      </c>
      <c r="E177" s="2">
        <f>SQRT(horizons_results_fin_use___Copy__2[[#This Row],[X (Position in AU)]]^2+horizons_results_fin_use___Copy__2[[#This Row],[Y (Position in AU)]]^2+horizons_results_fin_use___Copy__2[[#This Row],[Z (Position in AU)]]^2)</f>
        <v>1.0163584402726145</v>
      </c>
    </row>
    <row r="178" spans="1:5" x14ac:dyDescent="0.3">
      <c r="A178" s="1">
        <f t="shared" si="2"/>
        <v>177</v>
      </c>
      <c r="B178" s="1">
        <v>0.43028874831629971</v>
      </c>
      <c r="C178" s="1">
        <v>-0.84475803541635985</v>
      </c>
      <c r="D178" s="1">
        <v>-0.36618927373071108</v>
      </c>
      <c r="E178" s="2">
        <f>SQRT(horizons_results_fin_use___Copy__2[[#This Row],[X (Position in AU)]]^2+horizons_results_fin_use___Copy__2[[#This Row],[Y (Position in AU)]]^2+horizons_results_fin_use___Copy__2[[#This Row],[Z (Position in AU)]]^2)</f>
        <v>1.01629677236698</v>
      </c>
    </row>
    <row r="179" spans="1:5" x14ac:dyDescent="0.3">
      <c r="A179" s="1">
        <f t="shared" si="2"/>
        <v>178</v>
      </c>
      <c r="B179" s="1">
        <v>0.44553656158122551</v>
      </c>
      <c r="C179" s="1">
        <v>-0.83800917858842661</v>
      </c>
      <c r="D179" s="1">
        <v>-0.36326317791679841</v>
      </c>
      <c r="E179" s="2">
        <f>SQRT(horizons_results_fin_use___Copy__2[[#This Row],[X (Position in AU)]]^2+horizons_results_fin_use___Copy__2[[#This Row],[Y (Position in AU)]]^2+horizons_results_fin_use___Copy__2[[#This Row],[Z (Position in AU)]]^2)</f>
        <v>1.0162294758243742</v>
      </c>
    </row>
    <row r="180" spans="1:5" x14ac:dyDescent="0.3">
      <c r="A180" s="1">
        <f t="shared" si="2"/>
        <v>179</v>
      </c>
      <c r="B180" s="1">
        <v>0.46065709164081908</v>
      </c>
      <c r="C180" s="1">
        <v>-0.83102392879872178</v>
      </c>
      <c r="D180" s="1">
        <v>-0.36023468460273939</v>
      </c>
      <c r="E180" s="2">
        <f>SQRT(horizons_results_fin_use___Copy__2[[#This Row],[X (Position in AU)]]^2+horizons_results_fin_use___Copy__2[[#This Row],[Y (Position in AU)]]^2+horizons_results_fin_use___Copy__2[[#This Row],[Z (Position in AU)]]^2)</f>
        <v>1.0161568551684708</v>
      </c>
    </row>
    <row r="181" spans="1:5" x14ac:dyDescent="0.3">
      <c r="A181" s="1">
        <f t="shared" si="2"/>
        <v>180</v>
      </c>
      <c r="B181" s="1">
        <v>0.47564611993316452</v>
      </c>
      <c r="C181" s="1">
        <v>-0.82380453370166318</v>
      </c>
      <c r="D181" s="1">
        <v>-0.35710479632892</v>
      </c>
      <c r="E181" s="2">
        <f>SQRT(horizons_results_fin_use___Copy__2[[#This Row],[X (Position in AU)]]^2+horizons_results_fin_use___Copy__2[[#This Row],[Y (Position in AU)]]^2+horizons_results_fin_use___Copy__2[[#This Row],[Z (Position in AU)]]^2)</f>
        <v>1.0160792177364955</v>
      </c>
    </row>
    <row r="182" spans="1:5" x14ac:dyDescent="0.3">
      <c r="A182" s="1">
        <f t="shared" si="2"/>
        <v>181</v>
      </c>
      <c r="B182" s="1">
        <v>0.49049952942664482</v>
      </c>
      <c r="C182" s="1">
        <v>-0.81635326677333953</v>
      </c>
      <c r="D182" s="1">
        <v>-0.35387451965180289</v>
      </c>
      <c r="E182" s="2">
        <f>SQRT(horizons_results_fin_use___Copy__2[[#This Row],[X (Position in AU)]]^2+horizons_results_fin_use___Copy__2[[#This Row],[Y (Position in AU)]]^2+horizons_results_fin_use___Copy__2[[#This Row],[Z (Position in AU)]]^2)</f>
        <v>1.0159968603288385</v>
      </c>
    </row>
    <row r="183" spans="1:5" x14ac:dyDescent="0.3">
      <c r="A183" s="1">
        <f t="shared" si="2"/>
        <v>182</v>
      </c>
      <c r="B183" s="1">
        <v>0.50521328912822694</v>
      </c>
      <c r="C183" s="1">
        <v>-0.80867242189520661</v>
      </c>
      <c r="D183" s="1">
        <v>-0.35054486313461752</v>
      </c>
      <c r="E183" s="2">
        <f>SQRT(horizons_results_fin_use___Copy__2[[#This Row],[X (Position in AU)]]^2+horizons_results_fin_use___Copy__2[[#This Row],[Y (Position in AU)]]^2+horizons_results_fin_use___Copy__2[[#This Row],[Z (Position in AU)]]^2)</f>
        <v>1.0159100622179544</v>
      </c>
    </row>
    <row r="184" spans="1:5" x14ac:dyDescent="0.3">
      <c r="A184" s="1">
        <f t="shared" si="2"/>
        <v>183</v>
      </c>
      <c r="B184" s="1">
        <v>0.51978344232820062</v>
      </c>
      <c r="C184" s="1">
        <v>-0.80076431137055371</v>
      </c>
      <c r="D184" s="1">
        <v>-0.3471168369721731</v>
      </c>
      <c r="E184" s="2">
        <f>SQRT(horizons_results_fin_use___Copy__2[[#This Row],[X (Position in AU)]]^2+horizons_results_fin_use___Copy__2[[#This Row],[Y (Position in AU)]]^2+horizons_results_fin_use___Copy__2[[#This Row],[Z (Position in AU)]]^2)</f>
        <v>1.0158190822153703</v>
      </c>
    </row>
    <row r="185" spans="1:5" x14ac:dyDescent="0.3">
      <c r="A185" s="1">
        <f t="shared" si="2"/>
        <v>184</v>
      </c>
      <c r="B185" s="1">
        <v>0.53420609818088871</v>
      </c>
      <c r="C185" s="1">
        <v>-0.79263126511146398</v>
      </c>
      <c r="D185" s="1">
        <v>-0.34359145307037198</v>
      </c>
      <c r="E185" s="2">
        <f>SQRT(horizons_results_fin_use___Copy__2[[#This Row],[X (Position in AU)]]^2+horizons_results_fin_use___Copy__2[[#This Row],[Y (Position in AU)]]^2+horizons_results_fin_use___Copy__2[[#This Row],[Z (Position in AU)]]^2)</f>
        <v>1.0157241576278762</v>
      </c>
    </row>
    <row r="186" spans="1:5" x14ac:dyDescent="0.3">
      <c r="A186" s="1">
        <f t="shared" si="2"/>
        <v>185</v>
      </c>
      <c r="B186" s="1">
        <v>0.54847742548033862</v>
      </c>
      <c r="C186" s="1">
        <v>-0.78427562959875818</v>
      </c>
      <c r="D186" s="1">
        <v>-0.33996972489758392</v>
      </c>
      <c r="E186" s="2">
        <f>SQRT(horizons_results_fin_use___Copy__2[[#This Row],[X (Position in AU)]]^2+horizons_results_fin_use___Copy__2[[#This Row],[Y (Position in AU)]]^2+horizons_results_fin_use___Copy__2[[#This Row],[Z (Position in AU)]]^2)</f>
        <v>1.0156255034662174</v>
      </c>
    </row>
    <row r="187" spans="1:5" x14ac:dyDescent="0.3">
      <c r="A187" s="1">
        <f t="shared" si="2"/>
        <v>186</v>
      </c>
      <c r="B187" s="1">
        <v>0.56259364729018579</v>
      </c>
      <c r="C187" s="1">
        <v>-0.77569976600379698</v>
      </c>
      <c r="D187" s="1">
        <v>-0.33625266685264832</v>
      </c>
      <c r="E187" s="2">
        <f>SQRT(horizons_results_fin_use___Copy__2[[#This Row],[X (Position in AU)]]^2+horizons_results_fin_use___Copy__2[[#This Row],[Y (Position in AU)]]^2+horizons_results_fin_use___Copy__2[[#This Row],[Z (Position in AU)]]^2)</f>
        <v>1.0155233108674253</v>
      </c>
    </row>
    <row r="188" spans="1:5" x14ac:dyDescent="0.3">
      <c r="A188" s="1">
        <f t="shared" si="2"/>
        <v>187</v>
      </c>
      <c r="B188" s="1">
        <v>0.57655103520035056</v>
      </c>
      <c r="C188" s="1">
        <v>-0.76690604748664115</v>
      </c>
      <c r="D188" s="1">
        <v>-0.33244129322063959</v>
      </c>
      <c r="E188" s="2">
        <f>SQRT(horizons_results_fin_use___Copy__2[[#This Row],[X (Position in AU)]]^2+horizons_results_fin_use___Copy__2[[#This Row],[Y (Position in AU)]]^2+horizons_results_fin_use___Copy__2[[#This Row],[Z (Position in AU)]]^2)</f>
        <v>1.0154177442315993</v>
      </c>
    </row>
    <row r="189" spans="1:5" x14ac:dyDescent="0.3">
      <c r="A189" s="1">
        <f t="shared" si="2"/>
        <v>188</v>
      </c>
      <c r="B189" s="1">
        <v>0.59034590228237416</v>
      </c>
      <c r="C189" s="1">
        <v>-0.75789685614819535</v>
      </c>
      <c r="D189" s="1">
        <v>-0.32853661701807618</v>
      </c>
      <c r="E189" s="2">
        <f>SQRT(horizons_results_fin_use___Copy__2[[#This Row],[X (Position in AU)]]^2+horizons_results_fin_use___Copy__2[[#This Row],[Y (Position in AU)]]^2+horizons_results_fin_use___Copy__2[[#This Row],[Z (Position in AU)]]^2)</f>
        <v>1.0153089370347288</v>
      </c>
    </row>
    <row r="190" spans="1:5" x14ac:dyDescent="0.3">
      <c r="A190" s="1">
        <f t="shared" si="2"/>
        <v>189</v>
      </c>
      <c r="B190" s="1">
        <v>0.60397459423401778</v>
      </c>
      <c r="C190" s="1">
        <v>-0.74867458041369106</v>
      </c>
      <c r="D190" s="1">
        <v>-0.32453964916685751</v>
      </c>
      <c r="E190" s="2">
        <f>SQRT(horizons_results_fin_use___Copy__2[[#This Row],[X (Position in AU)]]^2+horizons_results_fin_use___Copy__2[[#This Row],[Y (Position in AU)]]^2+horizons_results_fin_use___Copy__2[[#This Row],[Z (Position in AU)]]^2)</f>
        <v>1.0151969866578159</v>
      </c>
    </row>
    <row r="191" spans="1:5" x14ac:dyDescent="0.3">
      <c r="A191" s="1">
        <f t="shared" si="2"/>
        <v>190</v>
      </c>
      <c r="B191" s="1">
        <v>0.6174334786835487</v>
      </c>
      <c r="C191" s="1">
        <v>-0.73924161374514941</v>
      </c>
      <c r="D191" s="1">
        <v>-0.32045139847520843</v>
      </c>
      <c r="E191" s="2">
        <f>SQRT(horizons_results_fin_use___Copy__2[[#This Row],[X (Position in AU)]]^2+horizons_results_fin_use___Copy__2[[#This Row],[Y (Position in AU)]]^2+horizons_results_fin_use___Copy__2[[#This Row],[Z (Position in AU)]]^2)</f>
        <v>1.0150819488477361</v>
      </c>
    </row>
    <row r="192" spans="1:5" x14ac:dyDescent="0.3">
      <c r="A192" s="1">
        <f t="shared" si="2"/>
        <v>191</v>
      </c>
      <c r="B192" s="1">
        <v>0.63071893308031257</v>
      </c>
      <c r="C192" s="1">
        <v>-0.72960035551101154</v>
      </c>
      <c r="D192" s="1">
        <v>-0.31627287284326122</v>
      </c>
      <c r="E192" s="2">
        <f>SQRT(horizons_results_fin_use___Copy__2[[#This Row],[X (Position in AU)]]^2+horizons_results_fin_use___Copy__2[[#This Row],[Y (Position in AU)]]^2+horizons_results_fin_use___Copy__2[[#This Row],[Z (Position in AU)]]^2)</f>
        <v>1.0149638325597083</v>
      </c>
    </row>
    <row r="193" spans="1:5" x14ac:dyDescent="0.3">
      <c r="A193" s="1">
        <f t="shared" si="2"/>
        <v>192</v>
      </c>
      <c r="B193" s="1">
        <v>0.64382733193020414</v>
      </c>
      <c r="C193" s="1">
        <v>-0.71975321461519959</v>
      </c>
      <c r="D193" s="1">
        <v>-0.31200508197349708</v>
      </c>
      <c r="E193" s="2">
        <f>SQRT(horizons_results_fin_use___Copy__2[[#This Row],[X (Position in AU)]]^2+horizons_results_fin_use___Copy__2[[#This Row],[Y (Position in AU)]]^2+horizons_results_fin_use___Copy__2[[#This Row],[Z (Position in AU)]]^2)</f>
        <v>1.0148425959066596</v>
      </c>
    </row>
    <row r="194" spans="1:5" x14ac:dyDescent="0.3">
      <c r="A194" s="1">
        <f t="shared" si="2"/>
        <v>193</v>
      </c>
      <c r="B194" s="1">
        <v>0.65675503427381643</v>
      </c>
      <c r="C194" s="1">
        <v>-0.70970261619887554</v>
      </c>
      <c r="D194" s="1">
        <v>-0.30764904170531371</v>
      </c>
      <c r="E194" s="2">
        <f>SQRT(horizons_results_fin_use___Copy__2[[#This Row],[X (Position in AU)]]^2+horizons_results_fin_use___Copy__2[[#This Row],[Y (Position in AU)]]^2+horizons_results_fin_use___Copy__2[[#This Row],[Z (Position in AU)]]^2)</f>
        <v>1.0147181437944863</v>
      </c>
    </row>
    <row r="195" spans="1:5" x14ac:dyDescent="0.3">
      <c r="A195" s="1">
        <f t="shared" si="2"/>
        <v>194</v>
      </c>
      <c r="B195" s="1">
        <v>0.66949837227223175</v>
      </c>
      <c r="C195" s="1">
        <v>-0.69945101150351952</v>
      </c>
      <c r="D195" s="1">
        <v>-0.30320577997515091</v>
      </c>
      <c r="E195" s="2">
        <f>SQRT(horizons_results_fin_use___Copy__2[[#This Row],[X (Position in AU)]]^2+horizons_results_fin_use___Copy__2[[#This Row],[Y (Position in AU)]]^2+horizons_results_fin_use___Copy__2[[#This Row],[Z (Position in AU)]]^2)</f>
        <v>1.0145903276588064</v>
      </c>
    </row>
    <row r="196" spans="1:5" x14ac:dyDescent="0.3">
      <c r="A196" s="1">
        <f t="shared" ref="A196:A259" si="3">A195+1</f>
        <v>195</v>
      </c>
      <c r="B196" s="1">
        <v>0.68205364169403304</v>
      </c>
      <c r="C196" s="1">
        <v>-0.68900089091669958</v>
      </c>
      <c r="D196" s="1">
        <v>-0.29867634437131652</v>
      </c>
      <c r="E196" s="2">
        <f>SQRT(horizons_results_fin_use___Copy__2[[#This Row],[X (Position in AU)]]^2+horizons_results_fin_use___Copy__2[[#This Row],[Y (Position in AU)]]^2+horizons_results_fin_use___Copy__2[[#This Row],[Z (Position in AU)]]^2)</f>
        <v>1.0144589476756127</v>
      </c>
    </row>
    <row r="197" spans="1:5" x14ac:dyDescent="0.3">
      <c r="A197" s="1">
        <f t="shared" si="3"/>
        <v>196</v>
      </c>
      <c r="B197" s="1">
        <v>0.69441709518983075</v>
      </c>
      <c r="C197" s="1">
        <v>-0.67835480029010309</v>
      </c>
      <c r="D197" s="1">
        <v>-0.29406181128368358</v>
      </c>
      <c r="E197" s="2">
        <f>SQRT(horizons_results_fin_use___Copy__2[[#This Row],[X (Position in AU)]]^2+horizons_results_fin_use___Copy__2[[#This Row],[Y (Position in AU)]]^2+horizons_results_fin_use___Copy__2[[#This Row],[Z (Position in AU)]]^2)</f>
        <v>1.0143237579904893</v>
      </c>
    </row>
    <row r="198" spans="1:5" x14ac:dyDescent="0.3">
      <c r="A198" s="1">
        <f t="shared" si="3"/>
        <v>197</v>
      </c>
      <c r="B198" s="1">
        <v>0.70658493965768465</v>
      </c>
      <c r="C198" s="1">
        <v>-0.66751536063737948</v>
      </c>
      <c r="D198" s="1">
        <v>-0.28936329663569021</v>
      </c>
      <c r="E198" s="2">
        <f>SQRT(horizons_results_fin_use___Copy__2[[#This Row],[X (Position in AU)]]^2+horizons_results_fin_use___Copy__2[[#This Row],[Y (Position in AU)]]^2+horizons_results_fin_use___Copy__2[[#This Row],[Z (Position in AU)]]^2)</f>
        <v>1.0141844758611616</v>
      </c>
    </row>
    <row r="199" spans="1:5" x14ac:dyDescent="0.3">
      <c r="A199" s="1">
        <f t="shared" si="3"/>
        <v>198</v>
      </c>
      <c r="B199" s="1">
        <v>0.71855333970557633</v>
      </c>
      <c r="C199" s="1">
        <v>-0.6564852909620883</v>
      </c>
      <c r="D199" s="1">
        <v>-0.28458196795894292</v>
      </c>
      <c r="E199" s="2">
        <f>SQRT(horizons_results_fin_use___Copy__2[[#This Row],[X (Position in AU)]]^2+horizons_results_fin_use___Copy__2[[#This Row],[Y (Position in AU)]]^2+horizons_results_fin_use___Copy__2[[#This Row],[Z (Position in AU)]]^2)</f>
        <v>1.0140407958948199</v>
      </c>
    </row>
    <row r="200" spans="1:5" x14ac:dyDescent="0.3">
      <c r="A200" s="1">
        <f t="shared" si="3"/>
        <v>199</v>
      </c>
      <c r="B200" s="1">
        <v>0.73031842981780515</v>
      </c>
      <c r="C200" s="1">
        <v>-0.64526743291119959</v>
      </c>
      <c r="D200" s="1">
        <v>-0.2797190569783583</v>
      </c>
      <c r="E200" s="2">
        <f>SQRT(horizons_results_fin_use___Copy__2[[#This Row],[X (Position in AU)]]^2+horizons_results_fin_use___Copy__2[[#This Row],[Y (Position in AU)]]^2+horizons_results_fin_use___Copy__2[[#This Row],[Z (Position in AU)]]^2)</f>
        <v>1.0138924103395863</v>
      </c>
    </row>
    <row r="201" spans="1:5" x14ac:dyDescent="0.3">
      <c r="A201" s="1">
        <f t="shared" si="3"/>
        <v>200</v>
      </c>
      <c r="B201" s="1">
        <v>0.74187633757217197</v>
      </c>
      <c r="C201" s="1">
        <v>-0.63386477416972709</v>
      </c>
      <c r="D201" s="1">
        <v>-0.2747758709436447</v>
      </c>
      <c r="E201" s="2">
        <f>SQRT(horizons_results_fin_use___Copy__2[[#This Row],[X (Position in AU)]]^2+horizons_results_fin_use___Copy__2[[#This Row],[Y (Position in AU)]]^2+horizons_results_fin_use___Copy__2[[#This Row],[Z (Position in AU)]]^2)</f>
        <v>1.0137390351740319</v>
      </c>
    </row>
    <row r="202" spans="1:5" x14ac:dyDescent="0.3">
      <c r="A202" s="1">
        <f t="shared" si="3"/>
        <v>201</v>
      </c>
      <c r="B202" s="1">
        <v>0.75322321832585748</v>
      </c>
      <c r="C202" s="1">
        <v>-0.62228046563108541</v>
      </c>
      <c r="D202" s="1">
        <v>-0.26975380004531058</v>
      </c>
      <c r="E202" s="2">
        <f>SQRT(horizons_results_fin_use___Copy__2[[#This Row],[X (Position in AU)]]^2+horizons_results_fin_use___Copy__2[[#This Row],[Y (Position in AU)]]^2+horizons_results_fin_use___Copy__2[[#This Row],[Z (Position in AU)]]^2)</f>
        <v>1.0135804394176557</v>
      </c>
    </row>
    <row r="203" spans="1:5" x14ac:dyDescent="0.3">
      <c r="A203" s="1">
        <f t="shared" si="3"/>
        <v>202</v>
      </c>
      <c r="B203" s="1">
        <v>0.76435529810383751</v>
      </c>
      <c r="C203" s="1">
        <v>-0.6105178267300182</v>
      </c>
      <c r="D203" s="1">
        <v>-0.26465431810399248</v>
      </c>
      <c r="E203" s="2">
        <f>SQRT(horizons_results_fin_use___Copy__2[[#This Row],[X (Position in AU)]]^2+horizons_results_fin_use___Copy__2[[#This Row],[Y (Position in AU)]]^2+horizons_results_fin_use___Copy__2[[#This Row],[Z (Position in AU)]]^2)</f>
        <v>1.0134164724266328</v>
      </c>
    </row>
    <row r="204" spans="1:5" x14ac:dyDescent="0.3">
      <c r="A204" s="1">
        <f t="shared" si="3"/>
        <v>203</v>
      </c>
      <c r="B204" s="1">
        <v>0.77526891737884196</v>
      </c>
      <c r="C204" s="1">
        <v>-0.59858033523175014</v>
      </c>
      <c r="D204" s="1">
        <v>-0.25947897494931238</v>
      </c>
      <c r="E204" s="2">
        <f>SQRT(horizons_results_fin_use___Copy__2[[#This Row],[X (Position in AU)]]^2+horizons_results_fin_use___Copy__2[[#This Row],[Y (Position in AU)]]^2+horizons_results_fin_use___Copy__2[[#This Row],[Z (Position in AU)]]^2)</f>
        <v>1.0132470826114732</v>
      </c>
    </row>
    <row r="205" spans="1:5" x14ac:dyDescent="0.3">
      <c r="A205" s="1">
        <f t="shared" si="3"/>
        <v>204</v>
      </c>
      <c r="B205" s="1">
        <v>0.78596056656270086</v>
      </c>
      <c r="C205" s="1">
        <v>-0.58647160218503513</v>
      </c>
      <c r="D205" s="1">
        <v>-0.25422938134952722</v>
      </c>
      <c r="E205" s="2">
        <f>SQRT(horizons_results_fin_use___Copy__2[[#This Row],[X (Position in AU)]]^2+horizons_results_fin_use___Copy__2[[#This Row],[Y (Position in AU)]]^2+horizons_results_fin_use___Copy__2[[#This Row],[Z (Position in AU)]]^2)</f>
        <v>1.0130723225428713</v>
      </c>
    </row>
    <row r="206" spans="1:5" x14ac:dyDescent="0.3">
      <c r="A206" s="1">
        <f t="shared" si="3"/>
        <v>205</v>
      </c>
      <c r="B206" s="1">
        <v>0.79642690612237854</v>
      </c>
      <c r="C206" s="1">
        <v>-0.57419533759542829</v>
      </c>
      <c r="D206" s="1">
        <v>-0.24890718981993509</v>
      </c>
      <c r="E206" s="2">
        <f>SQRT(horizons_results_fin_use___Copy__2[[#This Row],[X (Position in AU)]]^2+horizons_results_fin_use___Copy__2[[#This Row],[Y (Position in AU)]]^2+horizons_results_fin_use___Copy__2[[#This Row],[Z (Position in AU)]]^2)</f>
        <v>1.0128923396176166</v>
      </c>
    </row>
    <row r="207" spans="1:5" x14ac:dyDescent="0.3">
      <c r="A207" s="1">
        <f t="shared" si="3"/>
        <v>206</v>
      </c>
      <c r="B207" s="1">
        <v>0.80666476946199539</v>
      </c>
      <c r="C207" s="1">
        <v>-0.56175531485999475</v>
      </c>
      <c r="D207" s="1">
        <v>-0.24351407568274319</v>
      </c>
      <c r="E207" s="2">
        <f>SQRT(horizons_results_fin_use___Copy__2[[#This Row],[X (Position in AU)]]^2+horizons_results_fin_use___Copy__2[[#This Row],[Y (Position in AU)]]^2+horizons_results_fin_use___Copy__2[[#This Row],[Z (Position in AU)]]^2)</f>
        <v>1.0127073561104643</v>
      </c>
    </row>
    <row r="208" spans="1:5" x14ac:dyDescent="0.3">
      <c r="A208" s="1">
        <f t="shared" si="3"/>
        <v>207</v>
      </c>
      <c r="B208" s="1">
        <v>0.81667115206985597</v>
      </c>
      <c r="C208" s="1">
        <v>-0.54915534091063478</v>
      </c>
      <c r="D208" s="1">
        <v>-0.23805172188670731</v>
      </c>
      <c r="E208" s="2">
        <f>SQRT(horizons_results_fin_use___Copy__2[[#This Row],[X (Position in AU)]]^2+horizons_results_fin_use___Copy__2[[#This Row],[Y (Position in AU)]]^2+horizons_results_fin_use___Copy__2[[#This Row],[Z (Position in AU)]]^2)</f>
        <v>1.0125176449657594</v>
      </c>
    </row>
    <row r="209" spans="1:5" x14ac:dyDescent="0.3">
      <c r="A209" s="1">
        <f t="shared" si="3"/>
        <v>208</v>
      </c>
      <c r="B209" s="1">
        <v>0.82644319323446347</v>
      </c>
      <c r="C209" s="1">
        <v>-0.53639923554743629</v>
      </c>
      <c r="D209" s="1">
        <v>-0.23252180910464579</v>
      </c>
      <c r="E209" s="2">
        <f>SQRT(horizons_results_fin_use___Copy__2[[#This Row],[X (Position in AU)]]^2+horizons_results_fin_use___Copy__2[[#This Row],[Y (Position in AU)]]^2+horizons_results_fin_use___Copy__2[[#This Row],[Z (Position in AU)]]^2)</f>
        <v>1.0123235072094039</v>
      </c>
    </row>
    <row r="210" spans="1:5" x14ac:dyDescent="0.3">
      <c r="A210" s="1">
        <f t="shared" si="3"/>
        <v>209</v>
      </c>
      <c r="B210" s="1">
        <v>0.83597815636264039</v>
      </c>
      <c r="C210" s="1">
        <v>-0.52349081985979584</v>
      </c>
      <c r="D210" s="1">
        <v>-0.22692601073643059</v>
      </c>
      <c r="E210" s="2">
        <f>SQRT(horizons_results_fin_use___Copy__2[[#This Row],[X (Position in AU)]]^2+horizons_results_fin_use___Copy__2[[#This Row],[Y (Position in AU)]]^2+horizons_results_fin_use___Copy__2[[#This Row],[Z (Position in AU)]]^2)</f>
        <v>1.0121252544728399</v>
      </c>
    </row>
    <row r="211" spans="1:5" x14ac:dyDescent="0.3">
      <c r="A211" s="1">
        <f t="shared" si="3"/>
        <v>210</v>
      </c>
      <c r="B211" s="1">
        <v>0.84527341184419513</v>
      </c>
      <c r="C211" s="1">
        <v>-0.51043391143444949</v>
      </c>
      <c r="D211" s="1">
        <v>-0.22126599138670189</v>
      </c>
      <c r="E211" s="2">
        <f>SQRT(horizons_results_fin_use___Copy__2[[#This Row],[X (Position in AU)]]^2+horizons_results_fin_use___Copy__2[[#This Row],[Y (Position in AU)]]^2+horizons_results_fin_use___Copy__2[[#This Row],[Z (Position in AU)]]^2)</f>
        <v>1.0119231975092466</v>
      </c>
    </row>
    <row r="212" spans="1:5" x14ac:dyDescent="0.3">
      <c r="A212" s="1">
        <f t="shared" si="3"/>
        <v>211</v>
      </c>
      <c r="B212" s="1">
        <v>0.85432642405057102</v>
      </c>
      <c r="C212" s="1">
        <v>-0.49723232343324292</v>
      </c>
      <c r="D212" s="1">
        <v>-0.21554340718334239</v>
      </c>
      <c r="E212" s="2">
        <f>SQRT(horizons_results_fin_use___Copy__2[[#This Row],[X (Position in AU)]]^2+horizons_results_fin_use___Copy__2[[#This Row],[Y (Position in AU)]]^2+horizons_results_fin_use___Copy__2[[#This Row],[Z (Position in AU)]]^2)</f>
        <v>1.0117176397978149</v>
      </c>
    </row>
    <row r="213" spans="1:5" x14ac:dyDescent="0.3">
      <c r="A213" s="1">
        <f t="shared" si="3"/>
        <v>212</v>
      </c>
      <c r="B213" s="1">
        <v>0.86313474230950582</v>
      </c>
      <c r="C213" s="1">
        <v>-0.48388986502916331</v>
      </c>
      <c r="D213" s="1">
        <v>-0.2097599066104755</v>
      </c>
      <c r="E213" s="2">
        <f>SQRT(horizons_results_fin_use___Copy__2[[#This Row],[X (Position in AU)]]^2+horizons_results_fin_use___Copy__2[[#This Row],[Y (Position in AU)]]^2+horizons_results_fin_use___Copy__2[[#This Row],[Z (Position in AU)]]^2)</f>
        <v>1.0115088745438046</v>
      </c>
    </row>
    <row r="214" spans="1:5" x14ac:dyDescent="0.3">
      <c r="A214" s="1">
        <f t="shared" si="3"/>
        <v>213</v>
      </c>
      <c r="B214" s="1">
        <v>0.87169599472636106</v>
      </c>
      <c r="C214" s="1">
        <v>-0.47041034149052108</v>
      </c>
      <c r="D214" s="1">
        <v>-0.20391713100692649</v>
      </c>
      <c r="E214" s="2">
        <f>SQRT(horizons_results_fin_use___Copy__2[[#This Row],[X (Position in AU)]]^2+horizons_results_fin_use___Copy__2[[#This Row],[Y (Position in AU)]]^2+horizons_results_fin_use___Copy__2[[#This Row],[Z (Position in AU)]]^2)</f>
        <v>1.0112971832855586</v>
      </c>
    </row>
    <row r="215" spans="1:5" x14ac:dyDescent="0.3">
      <c r="A215" s="1">
        <f t="shared" si="3"/>
        <v>214</v>
      </c>
      <c r="B215" s="1">
        <v>0.88000788333434721</v>
      </c>
      <c r="C215" s="1">
        <v>-0.45679755302636771</v>
      </c>
      <c r="D215" s="1">
        <v>-0.1980167143391072</v>
      </c>
      <c r="E215" s="2">
        <f>SQRT(horizons_results_fin_use___Copy__2[[#This Row],[X (Position in AU)]]^2+horizons_results_fin_use___Copy__2[[#This Row],[Y (Position in AU)]]^2+horizons_results_fin_use___Copy__2[[#This Row],[Z (Position in AU)]]^2)</f>
        <v>1.0110828345586385</v>
      </c>
    </row>
    <row r="216" spans="1:5" x14ac:dyDescent="0.3">
      <c r="A216" s="1">
        <f t="shared" si="3"/>
        <v>215</v>
      </c>
      <c r="B216" s="1">
        <v>0.88806817902085544</v>
      </c>
      <c r="C216" s="1">
        <v>-0.44305529222572793</v>
      </c>
      <c r="D216" s="1">
        <v>-0.19206028224150731</v>
      </c>
      <c r="E216" s="2">
        <f>SQRT(horizons_results_fin_use___Copy__2[[#This Row],[X (Position in AU)]]^2+horizons_results_fin_use___Copy__2[[#This Row],[Y (Position in AU)]]^2+horizons_results_fin_use___Copy__2[[#This Row],[Z (Position in AU)]]^2)</f>
        <v>1.0108660814239099</v>
      </c>
    </row>
    <row r="217" spans="1:5" x14ac:dyDescent="0.3">
      <c r="A217" s="1">
        <f t="shared" si="3"/>
        <v>216</v>
      </c>
      <c r="B217" s="1">
        <v>0.89587471486499926</v>
      </c>
      <c r="C217" s="1">
        <v>-0.42918734054039442</v>
      </c>
      <c r="D217" s="1">
        <v>-0.18604945063599679</v>
      </c>
      <c r="E217" s="2">
        <f>SQRT(horizons_results_fin_use___Copy__2[[#This Row],[X (Position in AU)]]^2+horizons_results_fin_use___Copy__2[[#This Row],[Y (Position in AU)]]^2+horizons_results_fin_use___Copy__2[[#This Row],[Z (Position in AU)]]^2)</f>
        <v>1.0106471570714166</v>
      </c>
    </row>
    <row r="218" spans="1:5" x14ac:dyDescent="0.3">
      <c r="A218" s="1">
        <f t="shared" si="3"/>
        <v>217</v>
      </c>
      <c r="B218" s="1">
        <v>0.90342537690745239</v>
      </c>
      <c r="C218" s="1">
        <v>-0.41519746479072922</v>
      </c>
      <c r="D218" s="1">
        <v>-0.17998582450210149</v>
      </c>
      <c r="E218" s="2">
        <f>SQRT(horizons_results_fin_use___Copy__2[[#This Row],[X (Position in AU)]]^2+horizons_results_fin_use___Copy__2[[#This Row],[Y (Position in AU)]]^2+horizons_results_fin_use___Copy__2[[#This Row],[Z (Position in AU)]]^2)</f>
        <v>1.0104262681812675</v>
      </c>
    </row>
    <row r="219" spans="1:5" x14ac:dyDescent="0.3">
      <c r="A219" s="1">
        <f t="shared" si="3"/>
        <v>218</v>
      </c>
      <c r="B219" s="1">
        <v>0.91071809197972386</v>
      </c>
      <c r="C219" s="1">
        <v>-0.40108941507673318</v>
      </c>
      <c r="D219" s="1">
        <v>-0.17387099755220711</v>
      </c>
      <c r="E219" s="2">
        <f>SQRT(horizons_results_fin_use___Copy__2[[#This Row],[X (Position in AU)]]^2+horizons_results_fin_use___Copy__2[[#This Row],[Y (Position in AU)]]^2+horizons_results_fin_use___Copy__2[[#This Row],[Z (Position in AU)]]^2)</f>
        <v>1.0102035862812921</v>
      </c>
    </row>
    <row r="220" spans="1:5" x14ac:dyDescent="0.3">
      <c r="A220" s="1">
        <f t="shared" si="3"/>
        <v>219</v>
      </c>
      <c r="B220" s="1">
        <v>0.91775081303052575</v>
      </c>
      <c r="C220" s="1">
        <v>-0.38686692564604269</v>
      </c>
      <c r="D220" s="1">
        <v>-0.1677065536124536</v>
      </c>
      <c r="E220" s="2">
        <f>SQRT(horizons_results_fin_use___Copy__2[[#This Row],[X (Position in AU)]]^2+horizons_results_fin_use___Copy__2[[#This Row],[Y (Position in AU)]]^2+horizons_results_fin_use___Copy__2[[#This Row],[Z (Position in AU)]]^2)</f>
        <v>1.0099792379557011</v>
      </c>
    </row>
    <row r="221" spans="1:5" x14ac:dyDescent="0.3">
      <c r="A221" s="1">
        <f t="shared" si="3"/>
        <v>220</v>
      </c>
      <c r="B221" s="1">
        <v>0.92452150327629767</v>
      </c>
      <c r="C221" s="1">
        <v>-0.37253372008061453</v>
      </c>
      <c r="D221" s="1">
        <v>-0.1614940703617489</v>
      </c>
      <c r="E221" s="2">
        <f>SQRT(horizons_results_fin_use___Copy__2[[#This Row],[X (Position in AU)]]^2+horizons_results_fin_use___Copy__2[[#This Row],[Y (Position in AU)]]^2+horizons_results_fin_use___Copy__2[[#This Row],[Z (Position in AU)]]^2)</f>
        <v>1.0097532953050328</v>
      </c>
    </row>
    <row r="222" spans="1:5" x14ac:dyDescent="0.3">
      <c r="A222" s="1">
        <f t="shared" si="3"/>
        <v>221</v>
      </c>
      <c r="B222" s="1">
        <v>0.93102812122747114</v>
      </c>
      <c r="C222" s="1">
        <v>-0.358093521565784</v>
      </c>
      <c r="D222" s="1">
        <v>-0.15523512572485751</v>
      </c>
      <c r="E222" s="2">
        <f>SQRT(horizons_results_fin_use___Copy__2[[#This Row],[X (Position in AU)]]^2+horizons_results_fin_use___Copy__2[[#This Row],[Y (Position in AU)]]^2+horizons_results_fin_use___Copy__2[[#This Row],[Z (Position in AU)]]^2)</f>
        <v>1.0095257683499474</v>
      </c>
    </row>
    <row r="223" spans="1:5" x14ac:dyDescent="0.3">
      <c r="A223" s="1">
        <f t="shared" si="3"/>
        <v>222</v>
      </c>
      <c r="B223" s="1">
        <v>0.93726860893354291</v>
      </c>
      <c r="C223" s="1">
        <v>-0.34355006811546712</v>
      </c>
      <c r="D223" s="1">
        <v>-0.14893130672705421</v>
      </c>
      <c r="E223" s="2">
        <f>SQRT(horizons_results_fin_use___Copy__2[[#This Row],[X (Position in AU)]]^2+horizons_results_fin_use___Copy__2[[#This Row],[Y (Position in AU)]]^2+horizons_results_fin_use___Copy__2[[#This Row],[Z (Position in AU)]]^2)</f>
        <v>1.0092966009641511</v>
      </c>
    </row>
    <row r="224" spans="1:5" x14ac:dyDescent="0.3">
      <c r="A224" s="1">
        <f t="shared" si="3"/>
        <v>223</v>
      </c>
      <c r="B224" s="1">
        <v>0.94324088552263929</v>
      </c>
      <c r="C224" s="1">
        <v>-0.32890713172147262</v>
      </c>
      <c r="D224" s="1">
        <v>-0.14258422015071931</v>
      </c>
      <c r="E224" s="2">
        <f>SQRT(horizons_results_fin_use___Copy__2[[#This Row],[X (Position in AU)]]^2+horizons_results_fin_use___Copy__2[[#This Row],[Y (Position in AU)]]^2+horizons_results_fin_use___Copy__2[[#This Row],[Z (Position in AU)]]^2)</f>
        <v>1.0090656714281621</v>
      </c>
    </row>
    <row r="225" spans="1:5" x14ac:dyDescent="0.3">
      <c r="A225" s="1">
        <f t="shared" si="3"/>
        <v>224</v>
      </c>
      <c r="B225" s="1">
        <v>0.94894284741672941</v>
      </c>
      <c r="C225" s="1">
        <v>-0.31416853977101628</v>
      </c>
      <c r="D225" s="1">
        <v>-0.13619550403979239</v>
      </c>
      <c r="E225" s="2">
        <f>SQRT(horizons_results_fin_use___Copy__2[[#This Row],[X (Position in AU)]]^2+horizons_results_fin_use___Copy__2[[#This Row],[Y (Position in AU)]]^2+horizons_results_fin_use___Copy__2[[#This Row],[Z (Position in AU)]]^2)</f>
        <v>1.0088327980224849</v>
      </c>
    </row>
    <row r="226" spans="1:5" x14ac:dyDescent="0.3">
      <c r="A226" s="1">
        <f t="shared" si="3"/>
        <v>225</v>
      </c>
      <c r="B226" s="1">
        <v>0.95437237581300094</v>
      </c>
      <c r="C226" s="1">
        <v>-0.29933819686150198</v>
      </c>
      <c r="D226" s="1">
        <v>-0.12976683902602579</v>
      </c>
      <c r="E226" s="2">
        <f>SQRT(horizons_results_fin_use___Copy__2[[#This Row],[X (Position in AU)]]^2+horizons_results_fin_use___Copy__2[[#This Row],[Y (Position in AU)]]^2+horizons_results_fin_use___Copy__2[[#This Row],[Z (Position in AU)]]^2)</f>
        <v>1.0085977495146683</v>
      </c>
    </row>
    <row r="227" spans="1:5" x14ac:dyDescent="0.3">
      <c r="A227" s="1">
        <f t="shared" si="3"/>
        <v>226</v>
      </c>
      <c r="B227" s="1">
        <v>0.95952735143900392</v>
      </c>
      <c r="C227" s="1">
        <v>-0.28442010520008998</v>
      </c>
      <c r="D227" s="1">
        <v>-0.1232999585134202</v>
      </c>
      <c r="E227" s="2">
        <f>SQRT(horizons_results_fin_use___Copy__2[[#This Row],[X (Position in AU)]]^2+horizons_results_fin_use___Copy__2[[#This Row],[Y (Position in AU)]]^2+horizons_results_fin_use___Copy__2[[#This Row],[Z (Position in AU)]]^2)</f>
        <v>1.0083602601109343</v>
      </c>
    </row>
    <row r="228" spans="1:5" x14ac:dyDescent="0.3">
      <c r="A228" s="1">
        <f t="shared" si="3"/>
        <v>227</v>
      </c>
      <c r="B228" s="1">
        <v>0.9644056762539982</v>
      </c>
      <c r="C228" s="1">
        <v>-0.26941838181558242</v>
      </c>
      <c r="D228" s="1">
        <v>-0.1167966567968398</v>
      </c>
      <c r="E228" s="2">
        <f>SQRT(horizons_results_fin_use___Copy__2[[#This Row],[X (Position in AU)]]^2+horizons_results_fin_use___Copy__2[[#This Row],[Y (Position in AU)]]^2+horizons_results_fin_use___Copy__2[[#This Row],[Z (Position in AU)]]^2)</f>
        <v>1.0081200483523665</v>
      </c>
    </row>
    <row r="229" spans="1:5" x14ac:dyDescent="0.3">
      <c r="A229" s="1">
        <f t="shared" si="3"/>
        <v>228</v>
      </c>
      <c r="B229" s="1">
        <v>0.96900530140001906</v>
      </c>
      <c r="C229" s="1">
        <v>-0.25433727063436168</v>
      </c>
      <c r="D229" s="1">
        <v>-0.1102587941176731</v>
      </c>
      <c r="E229" s="2">
        <f>SQRT(horizons_results_fin_use___Copy__2[[#This Row],[X (Position in AU)]]^2+horizons_results_fin_use___Copy__2[[#This Row],[Y (Position in AU)]]^2+horizons_results_fin_use___Copy__2[[#This Row],[Z (Position in AU)]]^2)</f>
        <v>1.0078768392295567</v>
      </c>
    </row>
    <row r="230" spans="1:5" x14ac:dyDescent="0.3">
      <c r="A230" s="1">
        <f t="shared" si="3"/>
        <v>229</v>
      </c>
      <c r="B230" s="1">
        <v>0.97332425990115645</v>
      </c>
      <c r="C230" s="1">
        <v>-0.23918114720951819</v>
      </c>
      <c r="D230" s="1">
        <v>-0.1036882975633352</v>
      </c>
      <c r="E230" s="2">
        <f>SQRT(horizons_results_fin_use___Copy__2[[#This Row],[X (Position in AU)]]^2+horizons_results_fin_use___Copy__2[[#This Row],[Y (Position in AU)]]^2+horizons_results_fin_use___Copy__2[[#This Row],[Z (Position in AU)]]^2)</f>
        <v>1.0076303881603501</v>
      </c>
    </row>
    <row r="231" spans="1:5" x14ac:dyDescent="0.3">
      <c r="A231" s="1">
        <f t="shared" si="3"/>
        <v>230</v>
      </c>
      <c r="B231" s="1">
        <v>0.9773607012272747</v>
      </c>
      <c r="C231" s="1">
        <v>-0.22395451402697361</v>
      </c>
      <c r="D231" s="1">
        <v>-9.7087156862899621E-2</v>
      </c>
      <c r="E231" s="2">
        <f>SQRT(horizons_results_fin_use___Copy__2[[#This Row],[X (Position in AU)]]^2+horizons_results_fin_use___Copy__2[[#This Row],[Y (Position in AU)]]^2+horizons_results_fin_use___Copy__2[[#This Row],[Z (Position in AU)]]^2)</f>
        <v>1.0073805044193824</v>
      </c>
    </row>
    <row r="232" spans="1:5" x14ac:dyDescent="0.3">
      <c r="A232" s="1">
        <f t="shared" si="3"/>
        <v>231</v>
      </c>
      <c r="B232" s="1">
        <v>0.98111292332795264</v>
      </c>
      <c r="C232" s="1">
        <v>-0.20866198539413949</v>
      </c>
      <c r="D232" s="1">
        <v>-9.0457414786137627E-2</v>
      </c>
      <c r="E232" s="2">
        <f>SQRT(horizons_results_fin_use___Copy__2[[#This Row],[X (Position in AU)]]^2+horizons_results_fin_use___Copy__2[[#This Row],[Y (Position in AU)]]^2+horizons_results_fin_use___Copy__2[[#This Row],[Z (Position in AU)]]^2)</f>
        <v>1.0071270706120139</v>
      </c>
    </row>
    <row r="233" spans="1:5" x14ac:dyDescent="0.3">
      <c r="A233" s="1">
        <f t="shared" si="3"/>
        <v>232</v>
      </c>
      <c r="B233" s="1">
        <v>0.98457939708056486</v>
      </c>
      <c r="C233" s="1">
        <v>-0.1933082630400316</v>
      </c>
      <c r="D233" s="1">
        <v>-8.3801153015917035E-2</v>
      </c>
      <c r="E233" s="2">
        <f>SQRT(horizons_results_fin_use___Copy__2[[#This Row],[X (Position in AU)]]^2+horizons_results_fin_use___Copy__2[[#This Row],[Y (Position in AU)]]^2+horizons_results_fin_use___Copy__2[[#This Row],[Z (Position in AU)]]^2)</f>
        <v>1.0068700546554554</v>
      </c>
    </row>
    <row r="234" spans="1:5" x14ac:dyDescent="0.3">
      <c r="A234" s="1">
        <f t="shared" si="3"/>
        <v>233</v>
      </c>
      <c r="B234" s="1">
        <v>0.98775877915848764</v>
      </c>
      <c r="C234" s="1">
        <v>-0.17789810600613309</v>
      </c>
      <c r="D234" s="1">
        <v>-7.7120475608181013E-2</v>
      </c>
      <c r="E234" s="2">
        <f>SQRT(horizons_results_fin_use___Copy__2[[#This Row],[X (Position in AU)]]^2+horizons_results_fin_use___Copy__2[[#This Row],[Y (Position in AU)]]^2+horizons_results_fin_use___Copy__2[[#This Row],[Z (Position in AU)]]^2)</f>
        <v>1.0066095120170817</v>
      </c>
    </row>
    <row r="235" spans="1:5" x14ac:dyDescent="0.3">
      <c r="A235" s="1">
        <f t="shared" si="3"/>
        <v>234</v>
      </c>
      <c r="B235" s="1">
        <v>0.99064991206628872</v>
      </c>
      <c r="C235" s="1">
        <v>-0.16243629994821179</v>
      </c>
      <c r="D235" s="1">
        <v>-7.0417492825573247E-2</v>
      </c>
      <c r="E235" s="2">
        <f>SQRT(horizons_results_fin_use___Copy__2[[#This Row],[X (Position in AU)]]^2+horizons_results_fin_use___Copy__2[[#This Row],[Y (Position in AU)]]^2+horizons_results_fin_use___Copy__2[[#This Row],[Z (Position in AU)]]^2)</f>
        <v>1.0063455783743727</v>
      </c>
    </row>
    <row r="236" spans="1:5" x14ac:dyDescent="0.3">
      <c r="A236" s="1">
        <f t="shared" si="3"/>
        <v>235</v>
      </c>
      <c r="B236" s="1">
        <v>0.99325181334277834</v>
      </c>
      <c r="C236" s="1">
        <v>-0.1469276307185885</v>
      </c>
      <c r="D236" s="1">
        <v>-6.3694307823998444E-2</v>
      </c>
      <c r="E236" s="2">
        <f>SQRT(horizons_results_fin_use___Copy__2[[#This Row],[X (Position in AU)]]^2+horizons_results_fin_use___Copy__2[[#This Row],[Y (Position in AU)]]^2+horizons_results_fin_use___Copy__2[[#This Row],[Z (Position in AU)]]^2)</f>
        <v>1.0060784553037965</v>
      </c>
    </row>
    <row r="237" spans="1:5" x14ac:dyDescent="0.3">
      <c r="A237" s="1">
        <f t="shared" si="3"/>
        <v>236</v>
      </c>
      <c r="B237" s="1">
        <v>0.99556365818570391</v>
      </c>
      <c r="C237" s="1">
        <v>-0.13137686522256781</v>
      </c>
      <c r="D237" s="1">
        <v>-5.6953007555175447E-2</v>
      </c>
      <c r="E237" s="2">
        <f>SQRT(horizons_results_fin_use___Copy__2[[#This Row],[X (Position in AU)]]^2+horizons_results_fin_use___Copy__2[[#This Row],[Y (Position in AU)]]^2+horizons_results_fin_use___Copy__2[[#This Row],[Z (Position in AU)]]^2)</f>
        <v>1.0058083929284889</v>
      </c>
    </row>
    <row r="238" spans="1:5" x14ac:dyDescent="0.3">
      <c r="A238" s="1">
        <f t="shared" si="3"/>
        <v>237</v>
      </c>
      <c r="B238" s="1">
        <v>0.99758476020067466</v>
      </c>
      <c r="C238" s="1">
        <v>-0.11578874008184641</v>
      </c>
      <c r="D238" s="1">
        <v>-5.0195657917581363E-2</v>
      </c>
      <c r="E238" s="2">
        <f>SQRT(horizons_results_fin_use___Copy__2[[#This Row],[X (Position in AU)]]^2+horizons_results_fin_use___Copy__2[[#This Row],[Y (Position in AU)]]^2+horizons_results_fin_use___Copy__2[[#This Row],[Z (Position in AU)]]^2)</f>
        <v>1.0055356732548864</v>
      </c>
    </row>
    <row r="239" spans="1:5" x14ac:dyDescent="0.3">
      <c r="A239" s="1">
        <f t="shared" si="3"/>
        <v>238</v>
      </c>
      <c r="B239" s="1">
        <v>0.99931455389767421</v>
      </c>
      <c r="C239" s="1">
        <v>-0.1001679566892119</v>
      </c>
      <c r="D239" s="1">
        <v>-4.3424302211080928E-2</v>
      </c>
      <c r="E239" s="2">
        <f>SQRT(horizons_results_fin_use___Copy__2[[#This Row],[X (Position in AU)]]^2+horizons_results_fin_use___Copy__2[[#This Row],[Y (Position in AU)]]^2+horizons_results_fin_use___Copy__2[[#This Row],[Z (Position in AU)]]^2)</f>
        <v>1.0052605966621386</v>
      </c>
    </row>
    <row r="240" spans="1:5" x14ac:dyDescent="0.3">
      <c r="A240" s="1">
        <f t="shared" si="3"/>
        <v>239</v>
      </c>
      <c r="B240" s="1">
        <v>1.000752580827265</v>
      </c>
      <c r="C240" s="1">
        <v>-8.4519180316332099E-2</v>
      </c>
      <c r="D240" s="1">
        <v>-3.6640961552995448E-2</v>
      </c>
      <c r="E240" s="2">
        <f>SQRT(horizons_results_fin_use___Copy__2[[#This Row],[X (Position in AU)]]^2+horizons_results_fin_use___Copy__2[[#This Row],[Y (Position in AU)]]^2+horizons_results_fin_use___Copy__2[[#This Row],[Z (Position in AU)]]^2)</f>
        <v>1.004983472469724</v>
      </c>
    </row>
    <row r="241" spans="1:5" x14ac:dyDescent="0.3">
      <c r="A241" s="1">
        <f t="shared" si="3"/>
        <v>240</v>
      </c>
      <c r="B241" s="1">
        <v>1.00189847965264</v>
      </c>
      <c r="C241" s="1">
        <v>-6.8847040930216083E-2</v>
      </c>
      <c r="D241" s="1">
        <v>-2.9847635995149641E-2</v>
      </c>
      <c r="E241" s="2">
        <f>SQRT(horizons_results_fin_use___Copy__2[[#This Row],[X (Position in AU)]]^2+horizons_results_fin_use___Copy__2[[#This Row],[Y (Position in AU)]]^2+horizons_results_fin_use___Copy__2[[#This Row],[Z (Position in AU)]]^2)</f>
        <v>1.0047046132817434</v>
      </c>
    </row>
    <row r="242" spans="1:5" x14ac:dyDescent="0.3">
      <c r="A242" s="1">
        <f t="shared" si="3"/>
        <v>241</v>
      </c>
      <c r="B242" s="1">
        <v>1.0027519793574979</v>
      </c>
      <c r="C242" s="1">
        <v>-5.3156133893731063E-2</v>
      </c>
      <c r="D242" s="1">
        <v>-2.3046305415854621E-2</v>
      </c>
      <c r="E242" s="2">
        <f>SQRT(horizons_results_fin_use___Copy__2[[#This Row],[X (Position in AU)]]^2+horizons_results_fin_use___Copy__2[[#This Row],[Y (Position in AU)]]^2+horizons_results_fin_use___Copy__2[[#This Row],[Z (Position in AU)]]^2)</f>
        <v>1.0044243320774489</v>
      </c>
    </row>
    <row r="243" spans="1:5" x14ac:dyDescent="0.3">
      <c r="A243" s="1">
        <f t="shared" si="3"/>
        <v>242</v>
      </c>
      <c r="B243" s="1">
        <v>1.0033128941958751</v>
      </c>
      <c r="C243" s="1">
        <v>-3.7451019424205763E-2</v>
      </c>
      <c r="D243" s="1">
        <v>-1.6238929663287261E-2</v>
      </c>
      <c r="E243" s="2">
        <f>SQRT(horizons_results_fin_use___Copy__2[[#This Row],[X (Position in AU)]]^2+horizons_results_fin_use___Copy__2[[#This Row],[Y (Position in AU)]]^2+horizons_results_fin_use___Copy__2[[#This Row],[Z (Position in AU)]]^2)</f>
        <v>1.0041429406973017</v>
      </c>
    </row>
    <row r="244" spans="1:5" x14ac:dyDescent="0.3">
      <c r="A244" s="1">
        <f t="shared" si="3"/>
        <v>243</v>
      </c>
      <c r="B244" s="1">
        <v>1.0035811187531549</v>
      </c>
      <c r="C244" s="1">
        <v>-2.173622038709043E-2</v>
      </c>
      <c r="D244" s="1">
        <v>-9.4274478123053066E-3</v>
      </c>
      <c r="E244" s="2">
        <f>SQRT(horizons_results_fin_use___Copy__2[[#This Row],[X (Position in AU)]]^2+horizons_results_fin_use___Copy__2[[#This Row],[Y (Position in AU)]]^2+horizons_results_fin_use___Copy__2[[#This Row],[Z (Position in AU)]]^2)</f>
        <v>1.0038607482947044</v>
      </c>
    </row>
    <row r="245" spans="1:5" x14ac:dyDescent="0.3">
      <c r="A245" s="1">
        <f t="shared" si="3"/>
        <v>244</v>
      </c>
      <c r="B245" s="1">
        <v>1.003556621487615</v>
      </c>
      <c r="C245" s="1">
        <v>-6.0162186815373676E-3</v>
      </c>
      <c r="D245" s="1">
        <v>-2.6137767571456712E-3</v>
      </c>
      <c r="E245" s="2">
        <f>SQRT(horizons_results_fin_use___Copy__2[[#This Row],[X (Position in AU)]]^2+horizons_results_fin_use___Copy__2[[#This Row],[Y (Position in AU)]]^2+horizons_results_fin_use___Copy__2[[#This Row],[Z (Position in AU)]]^2)</f>
        <v>1.0035780583730378</v>
      </c>
    </row>
    <row r="246" spans="1:5" x14ac:dyDescent="0.3">
      <c r="A246" s="1">
        <f t="shared" si="3"/>
        <v>245</v>
      </c>
      <c r="B246" s="1">
        <v>1.003239435346259</v>
      </c>
      <c r="C246" s="1">
        <v>9.7045488379712361E-3</v>
      </c>
      <c r="D246" s="1">
        <v>4.2001902855352191E-3</v>
      </c>
      <c r="E246" s="2">
        <f>SQRT(horizons_results_fin_use___Copy__2[[#This Row],[X (Position in AU)]]^2+horizons_results_fin_use___Copy__2[[#This Row],[Y (Position in AU)]]^2+horizons_results_fin_use___Copy__2[[#This Row],[Z (Position in AU)]]^2)</f>
        <v>1.0032951631999747</v>
      </c>
    </row>
    <row r="247" spans="1:5" x14ac:dyDescent="0.3">
      <c r="A247" s="1">
        <f t="shared" si="3"/>
        <v>246</v>
      </c>
      <c r="B247" s="1">
        <v>1.0026296445893501</v>
      </c>
      <c r="C247" s="1">
        <v>2.5421693276825811E-2</v>
      </c>
      <c r="D247" s="1">
        <v>1.101258445624986E-2</v>
      </c>
      <c r="E247" s="2">
        <f>SQRT(horizons_results_fin_use___Copy__2[[#This Row],[X (Position in AU)]]^2+horizons_results_fin_use___Copy__2[[#This Row],[Y (Position in AU)]]^2+horizons_results_fin_use___Copy__2[[#This Row],[Z (Position in AU)]]^2)</f>
        <v>1.0030123347770123</v>
      </c>
    </row>
    <row r="248" spans="1:5" x14ac:dyDescent="0.3">
      <c r="A248" s="1">
        <f t="shared" si="3"/>
        <v>247</v>
      </c>
      <c r="B248" s="1">
        <v>1.0017273679360079</v>
      </c>
      <c r="C248" s="1">
        <v>4.1130873283957682E-2</v>
      </c>
      <c r="D248" s="1">
        <v>1.782155997390019E-2</v>
      </c>
      <c r="E248" s="2">
        <f>SQRT(horizons_results_fin_use___Copy__2[[#This Row],[X (Position in AU)]]^2+horizons_results_fin_use___Copy__2[[#This Row],[Y (Position in AU)]]^2+horizons_results_fin_use___Copy__2[[#This Row],[Z (Position in AU)]]^2)</f>
        <v>1.0027298122669968</v>
      </c>
    </row>
    <row r="249" spans="1:5" x14ac:dyDescent="0.3">
      <c r="A249" s="1">
        <f t="shared" si="3"/>
        <v>248</v>
      </c>
      <c r="B249" s="1">
        <v>1.0005327395576571</v>
      </c>
      <c r="C249" s="1">
        <v>5.6827789025306122E-2</v>
      </c>
      <c r="D249" s="1">
        <v>2.4625289775193189E-2</v>
      </c>
      <c r="E249" s="2">
        <f>SQRT(horizons_results_fin_use___Copy__2[[#This Row],[X (Position in AU)]]^2+horizons_results_fin_use___Copy__2[[#This Row],[Y (Position in AU)]]^2+horizons_results_fin_use___Copy__2[[#This Row],[Z (Position in AU)]]^2)</f>
        <v>1.0024477868840689</v>
      </c>
    </row>
    <row r="250" spans="1:5" x14ac:dyDescent="0.3">
      <c r="A250" s="1">
        <f t="shared" si="3"/>
        <v>249</v>
      </c>
      <c r="B250" s="1">
        <v>0.99904589100013053</v>
      </c>
      <c r="C250" s="1">
        <v>7.2508168928522562E-2</v>
      </c>
      <c r="D250" s="1">
        <v>3.1421957381569117E-2</v>
      </c>
      <c r="E250" s="2">
        <f>SQRT(horizons_results_fin_use___Copy__2[[#This Row],[X (Position in AU)]]^2+horizons_results_fin_use___Copy__2[[#This Row],[Y (Position in AU)]]^2+horizons_results_fin_use___Copy__2[[#This Row],[Z (Position in AU)]]^2)</f>
        <v>1.0021663865303509</v>
      </c>
    </row>
    <row r="251" spans="1:5" x14ac:dyDescent="0.3">
      <c r="A251" s="1">
        <f t="shared" si="3"/>
        <v>250</v>
      </c>
      <c r="B251" s="1">
        <v>0.99726693816896572</v>
      </c>
      <c r="C251" s="1">
        <v>8.8167749142640695E-2</v>
      </c>
      <c r="D251" s="1">
        <v>3.820974518629873E-2</v>
      </c>
      <c r="E251" s="2">
        <f>SQRT(horizons_results_fin_use___Copy__2[[#This Row],[X (Position in AU)]]^2+horizons_results_fin_use___Copy__2[[#This Row],[Y (Position in AU)]]^2+horizons_results_fin_use___Copy__2[[#This Row],[Z (Position in AU)]]^2)</f>
        <v>1.0018856634272122</v>
      </c>
    </row>
    <row r="252" spans="1:5" x14ac:dyDescent="0.3">
      <c r="A252" s="1">
        <f t="shared" si="3"/>
        <v>251</v>
      </c>
      <c r="B252" s="1">
        <v>0.99519597734381571</v>
      </c>
      <c r="C252" s="1">
        <v>0.1038022477640851</v>
      </c>
      <c r="D252" s="1">
        <v>4.4986820460737827E-2</v>
      </c>
      <c r="E252" s="2">
        <f>SQRT(horizons_results_fin_use___Copy__2[[#This Row],[X (Position in AU)]]^2+horizons_results_fin_use___Copy__2[[#This Row],[Y (Position in AU)]]^2+horizons_results_fin_use___Copy__2[[#This Row],[Z (Position in AU)]]^2)</f>
        <v>1.0016055880322132</v>
      </c>
    </row>
    <row r="253" spans="1:5" x14ac:dyDescent="0.3">
      <c r="A253" s="1">
        <f t="shared" si="3"/>
        <v>252</v>
      </c>
      <c r="B253" s="1">
        <v>0.9928330925227925</v>
      </c>
      <c r="C253" s="1">
        <v>0.1194073376854734</v>
      </c>
      <c r="D253" s="1">
        <v>5.1751321244603417E-2</v>
      </c>
      <c r="E253" s="2">
        <f>SQRT(horizons_results_fin_use___Copy__2[[#This Row],[X (Position in AU)]]^2+horizons_results_fin_use___Copy__2[[#This Row],[Y (Position in AU)]]^2+horizons_results_fin_use___Copy__2[[#This Row],[Z (Position in AU)]]^2)</f>
        <v>1.0013260513699156</v>
      </c>
    </row>
    <row r="254" spans="1:5" x14ac:dyDescent="0.3">
      <c r="A254" s="1">
        <f t="shared" si="3"/>
        <v>253</v>
      </c>
      <c r="B254" s="1">
        <v>0.99017837379316476</v>
      </c>
      <c r="C254" s="1">
        <v>0.1349786225464879</v>
      </c>
      <c r="D254" s="1">
        <v>5.8501344474808953E-2</v>
      </c>
      <c r="E254" s="2">
        <f>SQRT(horizons_results_fin_use___Copy__2[[#This Row],[X (Position in AU)]]^2+horizons_results_fin_use___Copy__2[[#This Row],[Y (Position in AU)]]^2+horizons_results_fin_use___Copy__2[[#This Row],[Z (Position in AU)]]^2)</f>
        <v>1.0010468759142022</v>
      </c>
    </row>
    <row r="255" spans="1:5" x14ac:dyDescent="0.3">
      <c r="A255" s="1">
        <f t="shared" si="3"/>
        <v>254</v>
      </c>
      <c r="B255" s="1">
        <v>0.98723194403173886</v>
      </c>
      <c r="C255" s="1">
        <v>0.15051161943162161</v>
      </c>
      <c r="D255" s="1">
        <v>6.5234938136998391E-2</v>
      </c>
      <c r="E255" s="2">
        <f>SQRT(horizons_results_fin_use___Copy__2[[#This Row],[X (Position in AU)]]^2+horizons_results_fin_use___Copy__2[[#This Row],[Y (Position in AU)]]^2+horizons_results_fin_use___Copy__2[[#This Row],[Z (Position in AU)]]^2)</f>
        <v>1.0007678332432319</v>
      </c>
    </row>
    <row r="256" spans="1:5" x14ac:dyDescent="0.3">
      <c r="A256" s="1">
        <f t="shared" si="3"/>
        <v>255</v>
      </c>
      <c r="B256" s="1">
        <v>0.98399399002503163</v>
      </c>
      <c r="C256" s="1">
        <v>0.16600175021608549</v>
      </c>
      <c r="D256" s="1">
        <v>7.1950098235486287E-2</v>
      </c>
      <c r="E256" s="2">
        <f>SQRT(horizons_results_fin_use___Copy__2[[#This Row],[X (Position in AU)]]^2+horizons_results_fin_use___Copy__2[[#This Row],[Y (Position in AU)]]^2+horizons_results_fin_use___Copy__2[[#This Row],[Z (Position in AU)]]^2)</f>
        <v>1.0004886656610767</v>
      </c>
    </row>
    <row r="257" spans="1:5" x14ac:dyDescent="0.3">
      <c r="A257" s="1">
        <f t="shared" si="3"/>
        <v>256</v>
      </c>
      <c r="B257" s="1">
        <v>0.98046479422266131</v>
      </c>
      <c r="C257" s="1">
        <v>0.18144434173871099</v>
      </c>
      <c r="D257" s="1">
        <v>7.8644770471596626E-2</v>
      </c>
      <c r="E257" s="2">
        <f>SQRT(horizons_results_fin_use___Copy__2[[#This Row],[X (Position in AU)]]^2+horizons_results_fin_use___Copy__2[[#This Row],[Y (Position in AU)]]^2+horizons_results_fin_use___Copy__2[[#This Row],[Z (Position in AU)]]^2)</f>
        <v>1.0002091090275123</v>
      </c>
    </row>
    <row r="258" spans="1:5" x14ac:dyDescent="0.3">
      <c r="A258" s="1">
        <f t="shared" si="3"/>
        <v>257</v>
      </c>
      <c r="B258" s="1">
        <v>0.97664476420620938</v>
      </c>
      <c r="C258" s="1">
        <v>0.19683463391535119</v>
      </c>
      <c r="D258" s="1">
        <v>8.5316856002466093E-2</v>
      </c>
      <c r="E258" s="2">
        <f>SQRT(horizons_results_fin_use___Copy__2[[#This Row],[X (Position in AU)]]^2+horizons_results_fin_use___Copy__2[[#This Row],[Y (Position in AU)]]^2+horizons_results_fin_use___Copy__2[[#This Row],[Z (Position in AU)]]^2)</f>
        <v>0.99992891471251</v>
      </c>
    </row>
    <row r="259" spans="1:5" x14ac:dyDescent="0.3">
      <c r="A259" s="1">
        <f t="shared" si="3"/>
        <v>258</v>
      </c>
      <c r="B259" s="1">
        <v>0.97253445781856618</v>
      </c>
      <c r="C259" s="1">
        <v>0.21216779451956799</v>
      </c>
      <c r="D259" s="1">
        <v>9.1964220493553392E-2</v>
      </c>
      <c r="E259" s="2">
        <f>SQRT(horizons_results_fin_use___Copy__2[[#This Row],[X (Position in AU)]]^2+horizons_results_fin_use___Copy__2[[#This Row],[Y (Position in AU)]]^2+horizons_results_fin_use___Copy__2[[#This Row],[Z (Position in AU)]]^2)</f>
        <v>0.99964786926534133</v>
      </c>
    </row>
    <row r="260" spans="1:5" x14ac:dyDescent="0.3">
      <c r="A260" s="1">
        <f t="shared" ref="A260:A323" si="4">A259+1</f>
        <v>259</v>
      </c>
      <c r="B260" s="1">
        <v>0.96813460238538462</v>
      </c>
      <c r="C260" s="1">
        <v>0.22743893924617911</v>
      </c>
      <c r="D260" s="1">
        <v>9.8584705645448412E-2</v>
      </c>
      <c r="E260" s="2">
        <f>SQRT(horizons_results_fin_use___Copy__2[[#This Row],[X (Position in AU)]]^2+horizons_results_fin_use___Copy__2[[#This Row],[Y (Position in AU)]]^2+horizons_results_fin_use___Copy__2[[#This Row],[Z (Position in AU)]]^2)</f>
        <v>0.99936581070623665</v>
      </c>
    </row>
    <row r="261" spans="1:5" x14ac:dyDescent="0.3">
      <c r="A261" s="1">
        <f t="shared" si="4"/>
        <v>260</v>
      </c>
      <c r="B261" s="1">
        <v>0.9634461067137603</v>
      </c>
      <c r="C261" s="1">
        <v>0.24264315543338019</v>
      </c>
      <c r="D261" s="1">
        <v>0.10517614226302439</v>
      </c>
      <c r="E261" s="2">
        <f>SQRT(horizons_results_fin_use___Copy__2[[#This Row],[X (Position in AU)]]^2+horizons_results_fin_use___Copy__2[[#This Row],[Y (Position in AU)]]^2+horizons_results_fin_use___Copy__2[[#This Row],[Z (Position in AU)]]^2)</f>
        <v>0.99908264038662076</v>
      </c>
    </row>
    <row r="262" spans="1:5" x14ac:dyDescent="0.3">
      <c r="A262" s="1">
        <f t="shared" si="4"/>
        <v>261</v>
      </c>
      <c r="B262" s="1">
        <v>0.95847006497958886</v>
      </c>
      <c r="C262" s="1">
        <v>0.2577755273639728</v>
      </c>
      <c r="D262" s="1">
        <v>0.1117363637183087</v>
      </c>
      <c r="E262" s="2">
        <f>SQRT(horizons_results_fin_use___Copy__2[[#This Row],[X (Position in AU)]]^2+horizons_results_fin_use___Copy__2[[#This Row],[Y (Position in AU)]]^2+horizons_results_fin_use___Copy__2[[#This Row],[Z (Position in AU)]]^2)</f>
        <v>0.99879832946733638</v>
      </c>
    </row>
    <row r="263" spans="1:5" x14ac:dyDescent="0.3">
      <c r="A263" s="1">
        <f t="shared" si="4"/>
        <v>262</v>
      </c>
      <c r="B263" s="1">
        <v>0.95320775249212897</v>
      </c>
      <c r="C263" s="1">
        <v>0.27283116066377899</v>
      </c>
      <c r="D263" s="1">
        <v>0.11826321849403069</v>
      </c>
      <c r="E263" s="2">
        <f>SQRT(horizons_results_fin_use___Copy__2[[#This Row],[X (Position in AU)]]^2+horizons_results_fin_use___Copy__2[[#This Row],[Y (Position in AU)]]^2+horizons_results_fin_use___Copy__2[[#This Row],[Z (Position in AU)]]^2)</f>
        <v>0.99851291954025689</v>
      </c>
    </row>
    <row r="264" spans="1:5" x14ac:dyDescent="0.3">
      <c r="A264" s="1">
        <f t="shared" si="4"/>
        <v>263</v>
      </c>
      <c r="B264" s="1">
        <v>0.94766061454189832</v>
      </c>
      <c r="C264" s="1">
        <v>0.28780520335731591</v>
      </c>
      <c r="D264" s="1">
        <v>0.1247545805834364</v>
      </c>
      <c r="E264" s="2">
        <f>SQRT(horizons_results_fin_use___Copy__2[[#This Row],[X (Position in AU)]]^2+horizons_results_fin_use___Copy__2[[#This Row],[Y (Position in AU)]]^2+horizons_results_fin_use___Copy__2[[#This Row],[Z (Position in AU)]]^2)</f>
        <v>0.99822651778542904</v>
      </c>
    </row>
    <row r="265" spans="1:5" x14ac:dyDescent="0.3">
      <c r="A265" s="1">
        <f t="shared" si="4"/>
        <v>264</v>
      </c>
      <c r="B265" s="1">
        <v>0.94183025064589465</v>
      </c>
      <c r="C265" s="1">
        <v>0.30269286182041688</v>
      </c>
      <c r="D265" s="1">
        <v>0.13120835694130289</v>
      </c>
      <c r="E265" s="2">
        <f>SQRT(horizons_results_fin_use___Copy__2[[#This Row],[X (Position in AU)]]^2+horizons_results_fin_use___Copy__2[[#This Row],[Y (Position in AU)]]^2+horizons_results_fin_use___Copy__2[[#This Row],[Z (Position in AU)]]^2)</f>
        <v>0.99793928801304299</v>
      </c>
    </row>
    <row r="266" spans="1:5" x14ac:dyDescent="0.3">
      <c r="A266" s="1">
        <f t="shared" si="4"/>
        <v>265</v>
      </c>
      <c r="B266" s="1">
        <v>0.93571839702427451</v>
      </c>
      <c r="C266" s="1">
        <v>0.31748941101613659</v>
      </c>
      <c r="D266" s="1">
        <v>0.13762249181516931</v>
      </c>
      <c r="E266" s="2">
        <f>SQRT(horizons_results_fin_use___Copy__2[[#This Row],[X (Position in AU)]]^2+horizons_results_fin_use___Copy__2[[#This Row],[Y (Position in AU)]]^2+horizons_results_fin_use___Copy__2[[#This Row],[Z (Position in AU)]]^2)</f>
        <v>0.99765143957720392</v>
      </c>
    </row>
    <row r="267" spans="1:5" x14ac:dyDescent="0.3">
      <c r="A267" s="1">
        <f t="shared" si="4"/>
        <v>266</v>
      </c>
      <c r="B267" s="1">
        <v>0.92932690988795097</v>
      </c>
      <c r="C267" s="1">
        <v>0.33219019959353863</v>
      </c>
      <c r="D267" s="1">
        <v>0.14399496840246651</v>
      </c>
      <c r="E267" s="2">
        <f>SQRT(horizons_results_fin_use___Copy__2[[#This Row],[X (Position in AU)]]^2+horizons_results_fin_use___Copy__2[[#This Row],[Y (Position in AU)]]^2+horizons_results_fin_use___Copy__2[[#This Row],[Z (Position in AU)]]^2)</f>
        <v>0.99736321622220969</v>
      </c>
    </row>
    <row r="268" spans="1:5" x14ac:dyDescent="0.3">
      <c r="A268" s="1">
        <f t="shared" si="4"/>
        <v>267</v>
      </c>
      <c r="B268" s="1">
        <v>0.92265775126820238</v>
      </c>
      <c r="C268" s="1">
        <v>0.346790651272737</v>
      </c>
      <c r="D268" s="1">
        <v>0.15032380867905709</v>
      </c>
      <c r="E268" s="2">
        <f>SQRT(horizons_results_fin_use___Copy__2[[#This Row],[X (Position in AU)]]^2+horizons_results_fin_use___Copy__2[[#This Row],[Y (Position in AU)]]^2+horizons_results_fin_use___Copy__2[[#This Row],[Z (Position in AU)]]^2)</f>
        <v>0.99707488647605746</v>
      </c>
    </row>
    <row r="269" spans="1:5" x14ac:dyDescent="0.3">
      <c r="A269" s="1">
        <f t="shared" si="4"/>
        <v>268</v>
      </c>
      <c r="B269" s="1">
        <v>0.91571297805156948</v>
      </c>
      <c r="C269" s="1">
        <v>0.36128626426345611</v>
      </c>
      <c r="D269" s="1">
        <v>0.15660707235793439</v>
      </c>
      <c r="E269" s="2">
        <f>SQRT(horizons_results_fin_use___Copy__2[[#This Row],[X (Position in AU)]]^2+horizons_results_fin_use___Copy__2[[#This Row],[Y (Position in AU)]]^2+horizons_results_fin_use___Copy__2[[#This Row],[Z (Position in AU)]]^2)</f>
        <v>0.99678673648380833</v>
      </c>
    </row>
    <row r="270" spans="1:5" x14ac:dyDescent="0.3">
      <c r="A270" s="1">
        <f t="shared" si="4"/>
        <v>269</v>
      </c>
      <c r="B270" s="1">
        <v>0.90849473392426672</v>
      </c>
      <c r="C270" s="1">
        <v>0.37567261033195892</v>
      </c>
      <c r="D270" s="1">
        <v>0.16284285581490049</v>
      </c>
      <c r="E270" s="2">
        <f>SQRT(horizons_results_fin_use___Copy__2[[#This Row],[X (Position in AU)]]^2+horizons_results_fin_use___Copy__2[[#This Row],[Y (Position in AU)]]^2+horizons_results_fin_use___Copy__2[[#This Row],[Z (Position in AU)]]^2)</f>
        <v>0.99649906543443612</v>
      </c>
    </row>
    <row r="271" spans="1:5" x14ac:dyDescent="0.3">
      <c r="A271" s="1">
        <f t="shared" si="4"/>
        <v>270</v>
      </c>
      <c r="B271" s="1">
        <v>0.90100524323738906</v>
      </c>
      <c r="C271" s="1">
        <v>0.38994533471483378</v>
      </c>
      <c r="D271" s="1">
        <v>0.1690292915605438</v>
      </c>
      <c r="E271" s="2">
        <f>SQRT(horizons_results_fin_use___Copy__2[[#This Row],[X (Position in AU)]]^2+horizons_results_fin_use___Copy__2[[#This Row],[Y (Position in AU)]]^2+horizons_results_fin_use___Copy__2[[#This Row],[Z (Position in AU)]]^2)</f>
        <v>0.99621218312796689</v>
      </c>
    </row>
    <row r="272" spans="1:5" x14ac:dyDescent="0.3">
      <c r="A272" s="1">
        <f t="shared" si="4"/>
        <v>271</v>
      </c>
      <c r="B272" s="1">
        <v>0.8932468053812388</v>
      </c>
      <c r="C272" s="1">
        <v>0.40410015752650169</v>
      </c>
      <c r="D272" s="1">
        <v>0.17516454852372559</v>
      </c>
      <c r="E272" s="2">
        <f>SQRT(horizons_results_fin_use___Copy__2[[#This Row],[X (Position in AU)]]^2+horizons_results_fin_use___Copy__2[[#This Row],[Y (Position in AU)]]^2+horizons_results_fin_use___Copy__2[[#This Row],[Z (Position in AU)]]^2)</f>
        <v>0.99592640877539373</v>
      </c>
    </row>
    <row r="273" spans="1:5" x14ac:dyDescent="0.3">
      <c r="A273" s="1">
        <f t="shared" si="4"/>
        <v>272</v>
      </c>
      <c r="B273" s="1">
        <v>0.88522178805301965</v>
      </c>
      <c r="C273" s="1">
        <v>0.41813287668126659</v>
      </c>
      <c r="D273" s="1">
        <v>0.18124683307061881</v>
      </c>
      <c r="E273" s="2">
        <f>SQRT(horizons_results_fin_use___Copy__2[[#This Row],[X (Position in AU)]]^2+horizons_results_fin_use___Copy__2[[#This Row],[Y (Position in AU)]]^2+horizons_results_fin_use___Copy__2[[#This Row],[Z (Position in AU)]]^2)</f>
        <v>0.9956420697739049</v>
      </c>
    </row>
    <row r="274" spans="1:5" x14ac:dyDescent="0.3">
      <c r="A274" s="1">
        <f t="shared" si="4"/>
        <v>273</v>
      </c>
      <c r="B274" s="1">
        <v>0.87693261780998466</v>
      </c>
      <c r="C274" s="1">
        <v>0.43203937163455802</v>
      </c>
      <c r="D274" s="1">
        <v>0.1872743903067931</v>
      </c>
      <c r="E274" s="2">
        <f>SQRT(horizons_results_fin_use___Copy__2[[#This Row],[X (Position in AU)]]^2+horizons_results_fin_use___Copy__2[[#This Row],[Y (Position in AU)]]^2+horizons_results_fin_use___Copy__2[[#This Row],[Z (Position in AU)]]^2)</f>
        <v>0.9953594989179726</v>
      </c>
    </row>
    <row r="275" spans="1:5" x14ac:dyDescent="0.3">
      <c r="A275" s="1">
        <f t="shared" si="4"/>
        <v>274</v>
      </c>
      <c r="B275" s="1">
        <v>0.86838176662474975</v>
      </c>
      <c r="C275" s="1">
        <v>0.44581560641828172</v>
      </c>
      <c r="D275" s="1">
        <v>0.1932455047914142</v>
      </c>
      <c r="E275" s="2">
        <f>SQRT(horizons_results_fin_use___Copy__2[[#This Row],[X (Position in AU)]]^2+horizons_results_fin_use___Copy__2[[#This Row],[Y (Position in AU)]]^2+horizons_results_fin_use___Copy__2[[#This Row],[Z (Position in AU)]]^2)</f>
        <v>0.99507902834624651</v>
      </c>
    </row>
    <row r="276" spans="1:5" x14ac:dyDescent="0.3">
      <c r="A276" s="1">
        <f t="shared" si="4"/>
        <v>275</v>
      </c>
      <c r="B276" s="1">
        <v>0.85957173401631748</v>
      </c>
      <c r="C276" s="1">
        <v>0.45945762958382053</v>
      </c>
      <c r="D276" s="1">
        <v>0.1991584993872223</v>
      </c>
      <c r="E276" s="2">
        <f>SQRT(horizons_results_fin_use___Copy__2[[#This Row],[X (Position in AU)]]^2+horizons_results_fin_use___Copy__2[[#This Row],[Y (Position in AU)]]^2+horizons_results_fin_use___Copy__2[[#This Row],[Z (Position in AU)]]^2)</f>
        <v>0.99480097867903827</v>
      </c>
    </row>
    <row r="277" spans="1:5" x14ac:dyDescent="0.3">
      <c r="A277" s="1">
        <f t="shared" si="4"/>
        <v>276</v>
      </c>
      <c r="B277" s="1">
        <v>0.85050502592589827</v>
      </c>
      <c r="C277" s="1">
        <v>0.47296156808772372</v>
      </c>
      <c r="D277" s="1">
        <v>0.2050117307540627</v>
      </c>
      <c r="E277" s="2">
        <f>SQRT(horizons_results_fin_use___Copy__2[[#This Row],[X (Position in AU)]]^2+horizons_results_fin_use___Copy__2[[#This Row],[Y (Position in AU)]]^2+horizons_results_fin_use___Copy__2[[#This Row],[Z (Position in AU)]]^2)</f>
        <v>0.99452564258544263</v>
      </c>
    </row>
    <row r="278" spans="1:5" x14ac:dyDescent="0.3">
      <c r="A278" s="1">
        <f t="shared" si="4"/>
        <v>277</v>
      </c>
      <c r="B278" s="1">
        <v>0.8411841337523589</v>
      </c>
      <c r="C278" s="1">
        <v>0.48632361244254768</v>
      </c>
      <c r="D278" s="1">
        <v>0.21080358026865029</v>
      </c>
      <c r="E278" s="2">
        <f>SQRT(horizons_results_fin_use___Copy__2[[#This Row],[X (Position in AU)]]^2+horizons_results_fin_use___Copy__2[[#This Row],[Y (Position in AU)]]^2+horizons_results_fin_use___Copy__2[[#This Row],[Z (Position in AU)]]^2)</f>
        <v>0.99425326368584632</v>
      </c>
    </row>
    <row r="279" spans="1:5" x14ac:dyDescent="0.3">
      <c r="A279" s="1">
        <f t="shared" si="4"/>
        <v>278</v>
      </c>
      <c r="B279" s="1">
        <v>0.83161151912291364</v>
      </c>
      <c r="C279" s="1">
        <v>0.49953999221382961</v>
      </c>
      <c r="D279" s="1">
        <v>0.21653244019623441</v>
      </c>
      <c r="E279" s="2">
        <f>SQRT(horizons_results_fin_use___Copy__2[[#This Row],[X (Position in AU)]]^2+horizons_results_fin_use___Copy__2[[#This Row],[Y (Position in AU)]]^2+horizons_results_fin_use___Copy__2[[#This Row],[Z (Position in AU)]]^2)</f>
        <v>0.99398401406473791</v>
      </c>
    </row>
    <row r="280" spans="1:5" x14ac:dyDescent="0.3">
      <c r="A280" s="1">
        <f t="shared" si="4"/>
        <v>279</v>
      </c>
      <c r="B280" s="1">
        <v>0.82178961064784306</v>
      </c>
      <c r="C280" s="1">
        <v>0.5126069441843486</v>
      </c>
      <c r="D280" s="1">
        <v>0.22219669667904071</v>
      </c>
      <c r="E280" s="2">
        <f>SQRT(horizons_results_fin_use___Copy__2[[#This Row],[X (Position in AU)]]^2+horizons_results_fin_use___Copy__2[[#This Row],[Y (Position in AU)]]^2+horizons_results_fin_use___Copy__2[[#This Row],[Z (Position in AU)]]^2)</f>
        <v>0.99371797579083121</v>
      </c>
    </row>
    <row r="281" spans="1:5" x14ac:dyDescent="0.3">
      <c r="A281" s="1">
        <f t="shared" si="4"/>
        <v>280</v>
      </c>
      <c r="B281" s="1">
        <v>0.81172081680938124</v>
      </c>
      <c r="C281" s="1">
        <v>0.52552067905158506</v>
      </c>
      <c r="D281" s="1">
        <v>0.22779471285267991</v>
      </c>
      <c r="E281" s="2">
        <f>SQRT(horizons_results_fin_use___Copy__2[[#This Row],[X (Position in AU)]]^2+horizons_results_fin_use___Copy__2[[#This Row],[Y (Position in AU)]]^2+horizons_results_fin_use___Copy__2[[#This Row],[Z (Position in AU)]]^2)</f>
        <v>0.99345513223102488</v>
      </c>
    </row>
    <row r="282" spans="1:5" x14ac:dyDescent="0.3">
      <c r="A282" s="1">
        <f t="shared" si="4"/>
        <v>281</v>
      </c>
      <c r="B282" s="1">
        <v>0.80140755445237355</v>
      </c>
      <c r="C282" s="1">
        <v>0.53827735430780954</v>
      </c>
      <c r="D282" s="1">
        <v>0.23332481608024069</v>
      </c>
      <c r="E282" s="2">
        <f>SQRT(horizons_results_fin_use___Copy__2[[#This Row],[X (Position in AU)]]^2+horizons_results_fin_use___Copy__2[[#This Row],[Y (Position in AU)]]^2+horizons_results_fin_use___Copy__2[[#This Row],[Z (Position in AU)]]^2)</f>
        <v>0.99319537266986269</v>
      </c>
    </row>
    <row r="283" spans="1:5" x14ac:dyDescent="0.3">
      <c r="A283" s="1">
        <f t="shared" si="4"/>
        <v>282</v>
      </c>
      <c r="B283" s="1">
        <v>0.79085228727877455</v>
      </c>
      <c r="C283" s="1">
        <v>0.55087305952706445</v>
      </c>
      <c r="D283" s="1">
        <v>0.2387852922654132</v>
      </c>
      <c r="E283" s="2">
        <f>SQRT(horizons_results_fin_use___Copy__2[[#This Row],[X (Position in AU)]]^2+horizons_results_fin_use___Copy__2[[#This Row],[Y (Position in AU)]]^2+horizons_results_fin_use___Copy__2[[#This Row],[Z (Position in AU)]]^2)</f>
        <v>0.99293850958106011</v>
      </c>
    </row>
    <row r="284" spans="1:5" x14ac:dyDescent="0.3">
      <c r="A284" s="1">
        <f t="shared" si="4"/>
        <v>283</v>
      </c>
      <c r="B284" s="1">
        <v>0.78005756610954458</v>
      </c>
      <c r="C284" s="1">
        <v>0.56330381626541459</v>
      </c>
      <c r="D284" s="1">
        <v>0.24417438794916241</v>
      </c>
      <c r="E284" s="2">
        <f>SQRT(horizons_results_fin_use___Copy__2[[#This Row],[X (Position in AU)]]^2+horizons_results_fin_use___Copy__2[[#This Row],[Y (Position in AU)]]^2+horizons_results_fin_use___Copy__2[[#This Row],[Z (Position in AU)]]^2)</f>
        <v>0.99268430409384156</v>
      </c>
    </row>
    <row r="285" spans="1:5" x14ac:dyDescent="0.3">
      <c r="A285" s="1">
        <f t="shared" si="4"/>
        <v>284</v>
      </c>
      <c r="B285" s="1">
        <v>0.76902606361925252</v>
      </c>
      <c r="C285" s="1">
        <v>0.57556559050006961</v>
      </c>
      <c r="D285" s="1">
        <v>0.2494903186967381</v>
      </c>
      <c r="E285" s="2">
        <f>SQRT(horizons_results_fin_use___Copy__2[[#This Row],[X (Position in AU)]]^2+horizons_results_fin_use___Copy__2[[#This Row],[Y (Position in AU)]]^2+horizons_results_fin_use___Copy__2[[#This Row],[Z (Position in AU)]]^2)</f>
        <v>0.99243249373285658</v>
      </c>
    </row>
    <row r="286" spans="1:5" x14ac:dyDescent="0.3">
      <c r="A286" s="1">
        <f t="shared" si="4"/>
        <v>285</v>
      </c>
      <c r="B286" s="1">
        <v>0.7577605995362412</v>
      </c>
      <c r="C286" s="1">
        <v>0.58765431311143457</v>
      </c>
      <c r="D286" s="1">
        <v>0.25473128119008409</v>
      </c>
      <c r="E286" s="2">
        <f>SQRT(horizons_results_fin_use___Copy__2[[#This Row],[X (Position in AU)]]^2+horizons_results_fin_use___Copy__2[[#This Row],[Y (Position in AU)]]^2+horizons_results_fin_use___Copy__2[[#This Row],[Z (Position in AU)]]^2)</f>
        <v>0.9921828176020473</v>
      </c>
    </row>
    <row r="287" spans="1:5" x14ac:dyDescent="0.3">
      <c r="A287" s="1">
        <f t="shared" si="4"/>
        <v>286</v>
      </c>
      <c r="B287" s="1">
        <v>0.74626415570517046</v>
      </c>
      <c r="C287" s="1">
        <v>0.5995659038293597</v>
      </c>
      <c r="D287" s="1">
        <v>0.25989546658425777</v>
      </c>
      <c r="E287" s="2">
        <f>SQRT(horizons_results_fin_use___Copy__2[[#This Row],[X (Position in AU)]]^2+horizons_results_fin_use___Copy__2[[#This Row],[Y (Position in AU)]]^2+horizons_results_fin_use___Copy__2[[#This Row],[Z (Position in AU)]]^2)</f>
        <v>0.99193503652009241</v>
      </c>
    </row>
    <row r="288" spans="1:5" x14ac:dyDescent="0.3">
      <c r="A288" s="1">
        <f t="shared" si="4"/>
        <v>287</v>
      </c>
      <c r="B288" s="1">
        <v>0.73453988245964053</v>
      </c>
      <c r="C288" s="1">
        <v>0.61129629539057584</v>
      </c>
      <c r="D288" s="1">
        <v>0.26498107349571831</v>
      </c>
      <c r="E288" s="2">
        <f>SQRT(horizons_results_fin_use___Copy__2[[#This Row],[X (Position in AU)]]^2+horizons_results_fin_use___Copy__2[[#This Row],[Y (Position in AU)]]^2+horizons_results_fin_use___Copy__2[[#This Row],[Z (Position in AU)]]^2)</f>
        <v>0.99168894770134852</v>
      </c>
    </row>
    <row r="289" spans="1:5" x14ac:dyDescent="0.3">
      <c r="A289" s="1">
        <f t="shared" si="4"/>
        <v>288</v>
      </c>
      <c r="B289" s="1">
        <v>0.72259109829204959</v>
      </c>
      <c r="C289" s="1">
        <v>0.62284145617243103</v>
      </c>
      <c r="D289" s="1">
        <v>0.26998631981777438</v>
      </c>
      <c r="E289" s="2">
        <f>SQRT(horizons_results_fin_use___Copy__2[[#This Row],[X (Position in AU)]]^2+horizons_results_fin_use___Copy__2[[#This Row],[Y (Position in AU)]]^2+horizons_results_fin_use___Copy__2[[#This Row],[Z (Position in AU)]]^2)</f>
        <v>0.99144439468214773</v>
      </c>
    </row>
    <row r="290" spans="1:5" x14ac:dyDescent="0.3">
      <c r="A290" s="1">
        <f t="shared" si="4"/>
        <v>289</v>
      </c>
      <c r="B290" s="1">
        <v>0.71042128446612185</v>
      </c>
      <c r="C290" s="1">
        <v>0.6341974105653696</v>
      </c>
      <c r="D290" s="1">
        <v>0.27490945306418879</v>
      </c>
      <c r="E290" s="2">
        <f>SQRT(horizons_results_fin_use___Copy__2[[#This Row],[X (Position in AU)]]^2+horizons_results_fin_use___Copy__2[[#This Row],[Y (Position in AU)]]^2+horizons_results_fin_use___Copy__2[[#This Row],[Z (Position in AU)]]^2)</f>
        <v>0.99120127339222375</v>
      </c>
    </row>
    <row r="291" spans="1:5" x14ac:dyDescent="0.3">
      <c r="A291" s="1">
        <f t="shared" si="4"/>
        <v>290</v>
      </c>
      <c r="B291" s="1">
        <v>0.69803407570869924</v>
      </c>
      <c r="C291" s="1">
        <v>0.64536025672333364</v>
      </c>
      <c r="D291" s="1">
        <v>0.27974875911280128</v>
      </c>
      <c r="E291" s="2">
        <f>SQRT(horizons_results_fin_use___Copy__2[[#This Row],[X (Position in AU)]]^2+horizons_results_fin_use___Copy__2[[#This Row],[Y (Position in AU)]]^2+horizons_results_fin_use___Copy__2[[#This Row],[Z (Position in AU)]]^2)</f>
        <v>0.99095953501324019</v>
      </c>
    </row>
    <row r="292" spans="1:5" x14ac:dyDescent="0.3">
      <c r="A292" s="1">
        <f t="shared" si="4"/>
        <v>291</v>
      </c>
      <c r="B292" s="1">
        <v>0.68543324785858117</v>
      </c>
      <c r="C292" s="1">
        <v>0.65632618134509324</v>
      </c>
      <c r="D292" s="1">
        <v>0.28450256921526468</v>
      </c>
      <c r="E292" s="2">
        <f>SQRT(horizons_results_fin_use___Copy__2[[#This Row],[X (Position in AU)]]^2+horizons_results_fin_use___Copy__2[[#This Row],[Y (Position in AU)]]^2+horizons_results_fin_use___Copy__2[[#This Row],[Z (Position in AU)]]^2)</f>
        <v>0.99071918598515185</v>
      </c>
    </row>
    <row r="293" spans="1:5" x14ac:dyDescent="0.3">
      <c r="A293" s="1">
        <f t="shared" si="4"/>
        <v>292</v>
      </c>
      <c r="B293" s="1">
        <v>0.67262270340590158</v>
      </c>
      <c r="C293" s="1">
        <v>0.66709147111790845</v>
      </c>
      <c r="D293" s="1">
        <v>0.28916926513188163</v>
      </c>
      <c r="E293" s="2">
        <f>SQRT(horizons_results_fin_use___Copy__2[[#This Row],[X (Position in AU)]]^2+horizons_results_fin_use___Copy__2[[#This Row],[Y (Position in AU)]]^2+horizons_results_fin_use___Copy__2[[#This Row],[Z (Position in AU)]]^2)</f>
        <v>0.99048028545359312</v>
      </c>
    </row>
    <row r="294" spans="1:5" x14ac:dyDescent="0.3">
      <c r="A294" s="1">
        <f t="shared" si="4"/>
        <v>293</v>
      </c>
      <c r="B294" s="1">
        <v>0.65960645605411716</v>
      </c>
      <c r="C294" s="1">
        <v>0.67765252060850034</v>
      </c>
      <c r="D294" s="1">
        <v>0.29374728234293629</v>
      </c>
      <c r="E294" s="2">
        <f>SQRT(horizons_results_fin_use___Copy__2[[#This Row],[X (Position in AU)]]^2+horizons_results_fin_use___Copy__2[[#This Row],[Y (Position in AU)]]^2+horizons_results_fin_use___Copy__2[[#This Row],[Z (Position in AU)]]^2)</f>
        <v>0.99024294061567875</v>
      </c>
    </row>
    <row r="295" spans="1:5" x14ac:dyDescent="0.3">
      <c r="A295" s="1">
        <f t="shared" si="4"/>
        <v>294</v>
      </c>
      <c r="B295" s="1">
        <v>0.64638861554117777</v>
      </c>
      <c r="C295" s="1">
        <v>0.688005836741858</v>
      </c>
      <c r="D295" s="1">
        <v>0.29823511148058213</v>
      </c>
      <c r="E295" s="2">
        <f>SQRT(horizons_results_fin_use___Copy__2[[#This Row],[X (Position in AU)]]^2+horizons_results_fin_use___Copy__2[[#This Row],[Y (Position in AU)]]^2+horizons_results_fin_use___Copy__2[[#This Row],[Z (Position in AU)]]^2)</f>
        <v>0.99000730068618181</v>
      </c>
    </row>
    <row r="296" spans="1:5" x14ac:dyDescent="0.3">
      <c r="A296" s="1">
        <f t="shared" si="4"/>
        <v>295</v>
      </c>
      <c r="B296" s="1">
        <v>0.63297337381110386</v>
      </c>
      <c r="C296" s="1">
        <v>0.69814804044644196</v>
      </c>
      <c r="D296" s="1">
        <v>0.30263129834688057</v>
      </c>
      <c r="E296" s="2">
        <f>SQRT(horizons_results_fin_use___Copy__2[[#This Row],[X (Position in AU)]]^2+horizons_results_fin_use___Copy__2[[#This Row],[Y (Position in AU)]]^2+horizons_results_fin_use___Copy__2[[#This Row],[Z (Position in AU)]]^2)</f>
        <v>0.98977355040036152</v>
      </c>
    </row>
    <row r="297" spans="1:5" x14ac:dyDescent="0.3">
      <c r="A297" s="1">
        <f t="shared" si="4"/>
        <v>296</v>
      </c>
      <c r="B297" s="1">
        <v>0.61936499322184113</v>
      </c>
      <c r="C297" s="1">
        <v>0.70807586639826969</v>
      </c>
      <c r="D297" s="1">
        <v>0.30693444304612938</v>
      </c>
      <c r="E297" s="2">
        <f>SQRT(horizons_results_fin_use___Copy__2[[#This Row],[X (Position in AU)]]^2+horizons_results_fin_use___Copy__2[[#This Row],[Y (Position in AU)]]^2+horizons_results_fin_use___Copy__2[[#This Row],[Z (Position in AU)]]^2)</f>
        <v>0.98954190398001296</v>
      </c>
    </row>
    <row r="298" spans="1:5" x14ac:dyDescent="0.3">
      <c r="A298" s="1">
        <f t="shared" si="4"/>
        <v>297</v>
      </c>
      <c r="B298" s="1">
        <v>0.60556779691495788</v>
      </c>
      <c r="C298" s="1">
        <v>0.71778616194754652</v>
      </c>
      <c r="D298" s="1">
        <v>0.3111431988069111</v>
      </c>
      <c r="E298" s="2">
        <f>SQRT(horizons_results_fin_use___Copy__2[[#This Row],[X (Position in AU)]]^2+horizons_results_fin_use___Copy__2[[#This Row],[Y (Position in AU)]]^2+horizons_results_fin_use___Copy__2[[#This Row],[Z (Position in AU)]]^2)</f>
        <v>0.98931260029761181</v>
      </c>
    </row>
    <row r="299" spans="1:5" x14ac:dyDescent="0.3">
      <c r="A299" s="1">
        <f t="shared" si="4"/>
        <v>298</v>
      </c>
      <c r="B299" s="1">
        <v>0.5915861608957379</v>
      </c>
      <c r="C299" s="1">
        <v>0.72727588622741435</v>
      </c>
      <c r="D299" s="1">
        <v>0.31525627099223158</v>
      </c>
      <c r="E299" s="2">
        <f>SQRT(horizons_results_fin_use___Copy__2[[#This Row],[X (Position in AU)]]^2+horizons_results_fin_use___Copy__2[[#This Row],[Y (Position in AU)]]^2+horizons_results_fin_use___Copy__2[[#This Row],[Z (Position in AU)]]^2)</f>
        <v>0.98908589963215843</v>
      </c>
    </row>
    <row r="300" spans="1:5" x14ac:dyDescent="0.3">
      <c r="A300" s="1">
        <f t="shared" si="4"/>
        <v>299</v>
      </c>
      <c r="B300" s="1">
        <v>0.57742450688116409</v>
      </c>
      <c r="C300" s="1">
        <v>0.73654211015437199</v>
      </c>
      <c r="D300" s="1">
        <v>0.31927241661598282</v>
      </c>
      <c r="E300" s="2">
        <f>SQRT(horizons_results_fin_use___Copy__2[[#This Row],[X (Position in AU)]]^2+horizons_results_fin_use___Copy__2[[#This Row],[Y (Position in AU)]]^2+horizons_results_fin_use___Copy__2[[#This Row],[Z (Position in AU)]]^2)</f>
        <v>0.98886208198586534</v>
      </c>
    </row>
    <row r="301" spans="1:5" x14ac:dyDescent="0.3">
      <c r="A301" s="1">
        <f t="shared" si="4"/>
        <v>300</v>
      </c>
      <c r="B301" s="1">
        <v>0.56308729461991847</v>
      </c>
      <c r="C301" s="1">
        <v>0.74558201757206133</v>
      </c>
      <c r="D301" s="1">
        <v>0.32319044442389222</v>
      </c>
      <c r="E301" s="2">
        <f>SQRT(horizons_results_fin_use___Copy__2[[#This Row],[X (Position in AU)]]^2+horizons_results_fin_use___Copy__2[[#This Row],[Y (Position in AU)]]^2+horizons_results_fin_use___Copy__2[[#This Row],[Z (Position in AU)]]^2)</f>
        <v>0.98864144645878438</v>
      </c>
    </row>
    <row r="302" spans="1:5" x14ac:dyDescent="0.3">
      <c r="A302" s="1">
        <f t="shared" si="4"/>
        <v>301</v>
      </c>
      <c r="B302" s="1">
        <v>0.54857901221232619</v>
      </c>
      <c r="C302" s="1">
        <v>0.75439290717261687</v>
      </c>
      <c r="D302" s="1">
        <v>0.32700921526397031</v>
      </c>
      <c r="E302" s="2">
        <f>SQRT(horizons_results_fin_use___Copy__2[[#This Row],[X (Position in AU)]]^2+horizons_results_fin_use___Copy__2[[#This Row],[Y (Position in AU)]]^2+horizons_results_fin_use___Copy__2[[#This Row],[Z (Position in AU)]]^2)</f>
        <v>0.98842431065800973</v>
      </c>
    </row>
    <row r="303" spans="1:5" x14ac:dyDescent="0.3">
      <c r="A303" s="1">
        <f t="shared" si="4"/>
        <v>302</v>
      </c>
      <c r="B303" s="1">
        <v>0.53390416305368793</v>
      </c>
      <c r="C303" s="1">
        <v>0.76297219403457139</v>
      </c>
      <c r="D303" s="1">
        <v>0.33072764206168731</v>
      </c>
      <c r="E303" s="2">
        <f>SQRT(horizons_results_fin_use___Copy__2[[#This Row],[X (Position in AU)]]^2+horizons_results_fin_use___Copy__2[[#This Row],[Y (Position in AU)]]^2+horizons_results_fin_use___Copy__2[[#This Row],[Z (Position in AU)]]^2)</f>
        <v>0.98821100855013255</v>
      </c>
    </row>
    <row r="304" spans="1:5" x14ac:dyDescent="0.3">
      <c r="A304" s="1">
        <f t="shared" si="4"/>
        <v>303</v>
      </c>
      <c r="B304" s="1">
        <v>0.51906724859964237</v>
      </c>
      <c r="C304" s="1">
        <v>0.77131740867186449</v>
      </c>
      <c r="D304" s="1">
        <v>0.33434468825570762</v>
      </c>
      <c r="E304" s="2">
        <f>SQRT(horizons_results_fin_use___Copy__2[[#This Row],[X (Position in AU)]]^2+horizons_results_fin_use___Copy__2[[#This Row],[Y (Position in AU)]]^2+horizons_results_fin_use___Copy__2[[#This Row],[Z (Position in AU)]]^2)</f>
        <v>0.98800188464085892</v>
      </c>
    </row>
    <row r="305" spans="1:5" x14ac:dyDescent="0.3">
      <c r="A305" s="1">
        <f t="shared" si="4"/>
        <v>304</v>
      </c>
      <c r="B305" s="1">
        <v>0.50407274750514675</v>
      </c>
      <c r="C305" s="1">
        <v>0.77942619060691676</v>
      </c>
      <c r="D305" s="1">
        <v>0.33785936316948079</v>
      </c>
      <c r="E305" s="2">
        <f>SQRT(horizons_results_fin_use___Copy__2[[#This Row],[X (Position in AU)]]^2+horizons_results_fin_use___Copy__2[[#This Row],[Y (Position in AU)]]^2+horizons_results_fin_use___Copy__2[[#This Row],[Z (Position in AU)]]^2)</f>
        <v>0.9877972821701243</v>
      </c>
    </row>
    <row r="306" spans="1:5" x14ac:dyDescent="0.3">
      <c r="A306" s="1">
        <f t="shared" si="4"/>
        <v>305</v>
      </c>
      <c r="B306" s="1">
        <v>0.48892509400075662</v>
      </c>
      <c r="C306" s="1">
        <v>0.78729627322372453</v>
      </c>
      <c r="D306" s="1">
        <v>0.34127071279568882</v>
      </c>
      <c r="E306" s="2">
        <f>SQRT(horizons_results_fin_use___Copy__2[[#This Row],[X (Position in AU)]]^2+horizons_results_fin_use___Copy__2[[#This Row],[Y (Position in AU)]]^2+horizons_results_fin_use___Copy__2[[#This Row],[Z (Position in AU)]]^2)</f>
        <v>0.98759752368446718</v>
      </c>
    </row>
    <row r="307" spans="1:5" x14ac:dyDescent="0.3">
      <c r="A307" s="1">
        <f t="shared" si="4"/>
        <v>306</v>
      </c>
      <c r="B307" s="1">
        <v>0.4736286612337457</v>
      </c>
      <c r="C307" s="1">
        <v>0.79492545790809299</v>
      </c>
      <c r="D307" s="1">
        <v>0.34457780529156462</v>
      </c>
      <c r="E307" s="2">
        <f>SQRT(horizons_results_fin_use___Copy__2[[#This Row],[X (Position in AU)]]^2+horizons_results_fin_use___Copy__2[[#This Row],[Y (Position in AU)]]^2+horizons_results_fin_use___Copy__2[[#This Row],[Z (Position in AU)]]^2)</f>
        <v>0.98740288447624713</v>
      </c>
    </row>
    <row r="308" spans="1:5" x14ac:dyDescent="0.3">
      <c r="A308" s="1">
        <f t="shared" si="4"/>
        <v>307</v>
      </c>
      <c r="B308" s="1">
        <v>0.45818775724145122</v>
      </c>
      <c r="C308" s="1">
        <v>0.8023115789021531</v>
      </c>
      <c r="D308" s="1">
        <v>0.34777971238128991</v>
      </c>
      <c r="E308" s="2">
        <f>SQRT(horizons_results_fin_use___Copy__2[[#This Row],[X (Position in AU)]]^2+horizons_results_fin_use___Copy__2[[#This Row],[Y (Position in AU)]]^2+horizons_results_fin_use___Copy__2[[#This Row],[Z (Position in AU)]]^2)</f>
        <v>0.98721356294898499</v>
      </c>
    </row>
    <row r="309" spans="1:5" x14ac:dyDescent="0.3">
      <c r="A309" s="1">
        <f t="shared" si="4"/>
        <v>308</v>
      </c>
      <c r="B309" s="1">
        <v>0.44260664000422539</v>
      </c>
      <c r="C309" s="1">
        <v>0.80945246521866576</v>
      </c>
      <c r="D309" s="1">
        <v>0.35087549035585308</v>
      </c>
      <c r="E309" s="2">
        <f>SQRT(horizons_results_fin_use___Copy__2[[#This Row],[X (Position in AU)]]^2+horizons_results_fin_use___Copy__2[[#This Row],[Y (Position in AU)]]^2+horizons_results_fin_use___Copy__2[[#This Row],[Z (Position in AU)]]^2)</f>
        <v>0.98702965556099964</v>
      </c>
    </row>
    <row r="310" spans="1:5" x14ac:dyDescent="0.3">
      <c r="A310" s="1">
        <f t="shared" si="4"/>
        <v>309</v>
      </c>
      <c r="B310" s="1">
        <v>0.42688955246075538</v>
      </c>
      <c r="C310" s="1">
        <v>0.81634590971358512</v>
      </c>
      <c r="D310" s="1">
        <v>0.3538641659916486</v>
      </c>
      <c r="E310" s="2">
        <f>SQRT(horizons_results_fin_use___Copy__2[[#This Row],[X (Position in AU)]]^2+horizons_results_fin_use___Copy__2[[#This Row],[Y (Position in AU)]]^2+horizons_results_fin_use___Copy__2[[#This Row],[Z (Position in AU)]]^2)</f>
        <v>0.98685114494497594</v>
      </c>
    </row>
    <row r="311" spans="1:5" x14ac:dyDescent="0.3">
      <c r="A311" s="1">
        <f t="shared" si="4"/>
        <v>310</v>
      </c>
      <c r="B311" s="1">
        <v>0.41104077052050247</v>
      </c>
      <c r="C311" s="1">
        <v>0.82298965476649433</v>
      </c>
      <c r="D311" s="1">
        <v>0.35674473190933659</v>
      </c>
      <c r="E311" s="2">
        <f>SQRT(horizons_results_fin_use___Copy__2[[#This Row],[X (Position in AU)]]^2+horizons_results_fin_use___Copy__2[[#This Row],[Y (Position in AU)]]^2+horizons_results_fin_use___Copy__2[[#This Row],[Z (Position in AU)]]^2)</f>
        <v>0.98667790622260643</v>
      </c>
    </row>
    <row r="312" spans="1:5" x14ac:dyDescent="0.3">
      <c r="A312" s="1">
        <f t="shared" si="4"/>
        <v>311</v>
      </c>
      <c r="B312" s="1">
        <v>0.39506465180019978</v>
      </c>
      <c r="C312" s="1">
        <v>0.82938139833273039</v>
      </c>
      <c r="D312" s="1">
        <v>0.35951615261586778</v>
      </c>
      <c r="E312" s="2">
        <f>SQRT(horizons_results_fin_use___Copy__2[[#This Row],[X (Position in AU)]]^2+horizons_results_fin_use___Copy__2[[#This Row],[Y (Position in AU)]]^2+horizons_results_fin_use___Copy__2[[#This Row],[Z (Position in AU)]]^2)</f>
        <v>0.986509729802035</v>
      </c>
    </row>
    <row r="313" spans="1:5" x14ac:dyDescent="0.3">
      <c r="A313" s="1">
        <f t="shared" si="4"/>
        <v>312</v>
      </c>
      <c r="B313" s="1">
        <v>0.37896567358850941</v>
      </c>
      <c r="C313" s="1">
        <v>0.83551881675278628</v>
      </c>
      <c r="D313" s="1">
        <v>0.36217737866807093</v>
      </c>
      <c r="E313" s="2">
        <f>SQRT(horizons_results_fin_use___Copy__2[[#This Row],[X (Position in AU)]]^2+horizons_results_fin_use___Copy__2[[#This Row],[Y (Position in AU)]]^2+horizons_results_fin_use___Copy__2[[#This Row],[Z (Position in AU)]]^2)</f>
        <v>0.98634635322752817</v>
      </c>
    </row>
    <row r="314" spans="1:5" x14ac:dyDescent="0.3">
      <c r="A314" s="1">
        <f t="shared" si="4"/>
        <v>313</v>
      </c>
      <c r="B314" s="1">
        <v>0.36274845431849417</v>
      </c>
      <c r="C314" s="1">
        <v>0.84139959615479953</v>
      </c>
      <c r="D314" s="1">
        <v>0.36472736436074882</v>
      </c>
      <c r="E314" s="2">
        <f>SQRT(horizons_results_fin_use___Copy__2[[#This Row],[X (Position in AU)]]^2+horizons_results_fin_use___Copy__2[[#This Row],[Y (Position in AU)]]^2+horizons_results_fin_use___Copy__2[[#This Row],[Z (Position in AU)]]^2)</f>
        <v>0.98618749324530308</v>
      </c>
    </row>
    <row r="315" spans="1:5" x14ac:dyDescent="0.3">
      <c r="A315" s="1">
        <f t="shared" si="4"/>
        <v>314</v>
      </c>
      <c r="B315" s="1">
        <v>0.34641775931165142</v>
      </c>
      <c r="C315" s="1">
        <v>0.84702146433983239</v>
      </c>
      <c r="D315" s="1">
        <v>0.36716508475038279</v>
      </c>
      <c r="E315" s="2">
        <f>SQRT(horizons_results_fin_use___Copy__2[[#This Row],[X (Position in AU)]]^2+horizons_results_fin_use___Copy__2[[#This Row],[Y (Position in AU)]]^2+horizons_results_fin_use___Copy__2[[#This Row],[Z (Position in AU)]]^2)</f>
        <v>0.98603287190572664</v>
      </c>
    </row>
    <row r="316" spans="1:5" x14ac:dyDescent="0.3">
      <c r="A316" s="1">
        <f t="shared" si="4"/>
        <v>315</v>
      </c>
      <c r="B316" s="1">
        <v>0.32997849533813389</v>
      </c>
      <c r="C316" s="1">
        <v>0.85238221809045034</v>
      </c>
      <c r="D316" s="1">
        <v>0.36948954963891029</v>
      </c>
      <c r="E316" s="2">
        <f>SQRT(horizons_results_fin_use___Copy__2[[#This Row],[X (Position in AU)]]^2+horizons_results_fin_use___Copy__2[[#This Row],[Y (Position in AU)]]^2+horizons_results_fin_use___Copy__2[[#This Row],[Z (Position in AU)]]^2)</f>
        <v>0.98588223454669255</v>
      </c>
    </row>
    <row r="317" spans="1:5" x14ac:dyDescent="0.3">
      <c r="A317" s="1">
        <f t="shared" si="4"/>
        <v>316</v>
      </c>
      <c r="B317" s="1">
        <v>0.31343569908295488</v>
      </c>
      <c r="C317" s="1">
        <v>0.85747974426434526</v>
      </c>
      <c r="D317" s="1">
        <v>0.37169981395898688</v>
      </c>
      <c r="E317" s="2">
        <f>SQRT(horizons_results_fin_use___Copy__2[[#This Row],[X (Position in AU)]]^2+horizons_results_fin_use___Copy__2[[#This Row],[Y (Position in AU)]]^2+horizons_results_fin_use___Copy__2[[#This Row],[Z (Position in AU)]]^2)</f>
        <v>0.98573536052046595</v>
      </c>
    </row>
    <row r="318" spans="1:5" x14ac:dyDescent="0.3">
      <c r="A318" s="1">
        <f t="shared" si="4"/>
        <v>317</v>
      </c>
      <c r="B318" s="1">
        <v>0.29679452325804018</v>
      </c>
      <c r="C318" s="1">
        <v>0.86231203525900579</v>
      </c>
      <c r="D318" s="1">
        <v>0.37379498508367542</v>
      </c>
      <c r="E318" s="2">
        <f>SQRT(horizons_results_fin_use___Copy__2[[#This Row],[X (Position in AU)]]^2+horizons_results_fin_use___Copy__2[[#This Row],[Y (Position in AU)]]^2+horizons_results_fin_use___Copy__2[[#This Row],[Z (Position in AU)]]^2)</f>
        <v>0.98559206879022787</v>
      </c>
    </row>
    <row r="319" spans="1:5" x14ac:dyDescent="0.3">
      <c r="A319" s="1">
        <f t="shared" si="4"/>
        <v>318</v>
      </c>
      <c r="B319" s="1">
        <v>0.28006022235134131</v>
      </c>
      <c r="C319" s="1">
        <v>0.86687720025367554</v>
      </c>
      <c r="D319" s="1">
        <v>0.37577422790914361</v>
      </c>
      <c r="E319" s="2">
        <f>SQRT(horizons_results_fin_use___Copy__2[[#This Row],[X (Position in AU)]]^2+horizons_results_fin_use___Copy__2[[#This Row],[Y (Position in AU)]]^2+horizons_results_fin_use___Copy__2[[#This Row],[Z (Position in AU)]]^2)</f>
        <v>0.98545222046725678</v>
      </c>
    </row>
    <row r="320" spans="1:5" x14ac:dyDescent="0.3">
      <c r="A320" s="1">
        <f t="shared" si="4"/>
        <v>319</v>
      </c>
      <c r="B320" s="1">
        <v>0.26323813869109508</v>
      </c>
      <c r="C320" s="1">
        <v>0.87117347352822283</v>
      </c>
      <c r="D320" s="1">
        <v>0.37763676842677057</v>
      </c>
      <c r="E320" s="2">
        <f>SQRT(horizons_results_fin_use___Copy__2[[#This Row],[X (Position in AU)]]^2+horizons_results_fin_use___Copy__2[[#This Row],[Y (Position in AU)]]^2+horizons_results_fin_use___Copy__2[[#This Row],[Z (Position in AU)]]^2)</f>
        <v>0.98531571971048737</v>
      </c>
    </row>
    <row r="321" spans="1:5" x14ac:dyDescent="0.3">
      <c r="A321" s="1">
        <f t="shared" si="4"/>
        <v>320</v>
      </c>
      <c r="B321" s="1">
        <v>0.24633368883679491</v>
      </c>
      <c r="C321" s="1">
        <v>0.87519922067854083</v>
      </c>
      <c r="D321" s="1">
        <v>0.37938189621212992</v>
      </c>
      <c r="E321" s="2">
        <f>SQRT(horizons_results_fin_use___Copy__2[[#This Row],[X (Position in AU)]]^2+horizons_results_fin_use___Copy__2[[#This Row],[Y (Position in AU)]]^2+horizons_results_fin_use___Copy__2[[#This Row],[Z (Position in AU)]]^2)</f>
        <v>0.98518251370280596</v>
      </c>
    </row>
    <row r="322" spans="1:5" x14ac:dyDescent="0.3">
      <c r="A322" s="1">
        <f t="shared" si="4"/>
        <v>321</v>
      </c>
      <c r="B322" s="1">
        <v>0.22935235016689259</v>
      </c>
      <c r="C322" s="1">
        <v>0.87895294307668559</v>
      </c>
      <c r="D322" s="1">
        <v>0.38100896600481998</v>
      </c>
      <c r="E322" s="2">
        <f>SQRT(horizons_results_fin_use___Copy__2[[#This Row],[X (Position in AU)]]^2+horizons_results_fin_use___Copy__2[[#This Row],[Y (Position in AU)]]^2+horizons_results_fin_use___Copy__2[[#This Row],[Z (Position in AU)]]^2)</f>
        <v>0.98505259191898298</v>
      </c>
    </row>
    <row r="323" spans="1:5" x14ac:dyDescent="0.3">
      <c r="A323" s="1">
        <f t="shared" si="4"/>
        <v>322</v>
      </c>
      <c r="B323" s="1">
        <v>0.21229964768502649</v>
      </c>
      <c r="C323" s="1">
        <v>0.88243328065067961</v>
      </c>
      <c r="D323" s="1">
        <v>0.38251739842018062</v>
      </c>
      <c r="E323" s="2">
        <f>SQRT(horizons_results_fin_use___Copy__2[[#This Row],[X (Position in AU)]]^2+horizons_results_fin_use___Copy__2[[#This Row],[Y (Position in AU)]]^2+horizons_results_fin_use___Copy__2[[#This Row],[Z (Position in AU)]]^2)</f>
        <v>0.98492598468171744</v>
      </c>
    </row>
    <row r="324" spans="1:5" x14ac:dyDescent="0.3">
      <c r="A324" s="1">
        <f t="shared" ref="A324:A387" si="5">A323+1</f>
        <v>323</v>
      </c>
      <c r="B324" s="1">
        <v>0.19518114128286071</v>
      </c>
      <c r="C324" s="1">
        <v>0.8856390130243933</v>
      </c>
      <c r="D324" s="1">
        <v>0.38390667982917182</v>
      </c>
      <c r="E324" s="2">
        <f>SQRT(horizons_results_fin_use___Copy__2[[#This Row],[X (Position in AU)]]^2+horizons_results_fin_use___Copy__2[[#This Row],[Y (Position in AU)]]^2+horizons_results_fin_use___Copy__2[[#This Row],[Z (Position in AU)]]^2)</f>
        <v>0.98480276102413511</v>
      </c>
    </row>
    <row r="325" spans="1:5" x14ac:dyDescent="0.3">
      <c r="A325" s="1">
        <f t="shared" si="5"/>
        <v>324</v>
      </c>
      <c r="B325" s="1">
        <v>0.17800241380822951</v>
      </c>
      <c r="C325" s="1">
        <v>0.88856905920100748</v>
      </c>
      <c r="D325" s="1">
        <v>0.38517636152397661</v>
      </c>
      <c r="E325" s="2">
        <f>SQRT(horizons_results_fin_use___Copy__2[[#This Row],[X (Position in AU)]]^2+horizons_results_fin_use___Copy__2[[#This Row],[Y (Position in AU)]]^2+horizons_results_fin_use___Copy__2[[#This Row],[Z (Position in AU)]]^2)</f>
        <v>0.98468302603821134</v>
      </c>
    </row>
    <row r="326" spans="1:5" x14ac:dyDescent="0.3">
      <c r="A326" s="1">
        <f t="shared" si="5"/>
        <v>325</v>
      </c>
      <c r="B326" s="1">
        <v>0.16076906020936141</v>
      </c>
      <c r="C326" s="1">
        <v>0.89122247617840566</v>
      </c>
      <c r="D326" s="1">
        <v>0.38632605838881989</v>
      </c>
      <c r="E326" s="2">
        <f>SQRT(horizons_results_fin_use___Copy__2[[#This Row],[X (Position in AU)]]^2+horizons_results_fin_use___Copy__2[[#This Row],[Y (Position in AU)]]^2+horizons_results_fin_use___Copy__2[[#This Row],[Z (Position in AU)]]^2)</f>
        <v>0.98456691806926566</v>
      </c>
    </row>
    <row r="327" spans="1:5" x14ac:dyDescent="0.3">
      <c r="A327" s="1">
        <f t="shared" si="5"/>
        <v>326</v>
      </c>
      <c r="B327" s="1">
        <v>0.14348667776652099</v>
      </c>
      <c r="C327" s="1">
        <v>0.89359845702964569</v>
      </c>
      <c r="D327" s="1">
        <v>0.38735544735498723</v>
      </c>
      <c r="E327" s="2">
        <f>SQRT(horizons_results_fin_use___Copy__2[[#This Row],[X (Position in AU)]]^2+horizons_results_fin_use___Copy__2[[#This Row],[Y (Position in AU)]]^2+horizons_results_fin_use___Copy__2[[#This Row],[Z (Position in AU)]]^2)</f>
        <v>0.98445460621494341</v>
      </c>
    </row>
    <row r="328" spans="1:5" x14ac:dyDescent="0.3">
      <c r="A328" s="1">
        <f t="shared" si="5"/>
        <v>327</v>
      </c>
      <c r="B328" s="1">
        <v>0.1261608570532847</v>
      </c>
      <c r="C328" s="1">
        <v>0.89569632897616169</v>
      </c>
      <c r="D328" s="1">
        <v>0.38826426589340612</v>
      </c>
      <c r="E328" s="2">
        <f>SQRT(horizons_results_fin_use___Copy__2[[#This Row],[X (Position in AU)]]^2+horizons_results_fin_use___Copy__2[[#This Row],[Y (Position in AU)]]^2+horizons_results_fin_use___Copy__2[[#This Row],[Z (Position in AU)]]^2)</f>
        <v>0.98434628854054074</v>
      </c>
    </row>
    <row r="329" spans="1:5" x14ac:dyDescent="0.3">
      <c r="A329" s="1">
        <f t="shared" si="5"/>
        <v>328</v>
      </c>
      <c r="B329" s="1">
        <v>0.10879717289043141</v>
      </c>
      <c r="C329" s="1">
        <v>0.89751555177894815</v>
      </c>
      <c r="D329" s="1">
        <v>0.38905231066925489</v>
      </c>
      <c r="E329" s="2">
        <f>SQRT(horizons_results_fin_use___Copy__2[[#This Row],[X (Position in AU)]]^2+horizons_results_fin_use___Copy__2[[#This Row],[Y (Position in AU)]]^2+horizons_results_fin_use___Copy__2[[#This Row],[Z (Position in AU)]]^2)</f>
        <v>0.98424219120656808</v>
      </c>
    </row>
    <row r="330" spans="1:5" x14ac:dyDescent="0.3">
      <c r="A330" s="1">
        <f t="shared" si="5"/>
        <v>329</v>
      </c>
      <c r="B330" s="1">
        <v>9.1401174270841282E-2</v>
      </c>
      <c r="C330" s="1">
        <v>0.89905571635826576</v>
      </c>
      <c r="D330" s="1">
        <v>0.3897194362494189</v>
      </c>
      <c r="E330" s="2">
        <f>SQRT(horizons_results_fin_use___Copy__2[[#This Row],[X (Position in AU)]]^2+horizons_results_fin_use___Copy__2[[#This Row],[Y (Position in AU)]]^2+horizons_results_fin_use___Copy__2[[#This Row],[Z (Position in AU)]]^2)</f>
        <v>0.98414256831270541</v>
      </c>
    </row>
    <row r="331" spans="1:5" x14ac:dyDescent="0.3">
      <c r="A331" s="1">
        <f t="shared" si="5"/>
        <v>330</v>
      </c>
      <c r="B331" s="1">
        <v>7.3978372164185208E-2</v>
      </c>
      <c r="C331" s="1">
        <v>0.90031654292551888</v>
      </c>
      <c r="D331" s="1">
        <v>0.39026555342293828</v>
      </c>
      <c r="E331" s="2">
        <f>SQRT(horizons_results_fin_use___Copy__2[[#This Row],[X (Position in AU)]]^2+horizons_results_fin_use___Copy__2[[#This Row],[Y (Position in AU)]]^2+horizons_results_fin_use___Copy__2[[#This Row],[Z (Position in AU)]]^2)</f>
        <v>0.98404770169028533</v>
      </c>
    </row>
    <row r="332" spans="1:5" x14ac:dyDescent="0.3">
      <c r="A332" s="1">
        <f t="shared" si="5"/>
        <v>331</v>
      </c>
      <c r="B332" s="1">
        <v>5.6534224429281688E-2</v>
      </c>
      <c r="C332" s="1">
        <v>0.90129787710262843</v>
      </c>
      <c r="D332" s="1">
        <v>0.39069062629397</v>
      </c>
      <c r="E332" s="2">
        <f>SQRT(horizons_results_fin_use___Copy__2[[#This Row],[X (Position in AU)]]^2+horizons_results_fin_use___Copy__2[[#This Row],[Y (Position in AU)]]^2+horizons_results_fin_use___Copy__2[[#This Row],[Z (Position in AU)]]^2)</f>
        <v>0.98395789913771181</v>
      </c>
    </row>
    <row r="333" spans="1:5" x14ac:dyDescent="0.3">
      <c r="A333" s="1">
        <f t="shared" si="5"/>
        <v>332</v>
      </c>
      <c r="B333" s="1">
        <v>3.9074118019585893E-2</v>
      </c>
      <c r="C333" s="1">
        <v>0.90199968165424949</v>
      </c>
      <c r="D333" s="1">
        <v>0.39099466692486079</v>
      </c>
      <c r="E333" s="2">
        <f>SQRT(horizons_results_fin_use___Copy__2[[#This Row],[X (Position in AU)]]^2+horizons_results_fin_use___Copy__2[[#This Row],[Y (Position in AU)]]^2+horizons_results_fin_use___Copy__2[[#This Row],[Z (Position in AU)]]^2)</f>
        <v>0.9838734888018168</v>
      </c>
    </row>
    <row r="334" spans="1:5" x14ac:dyDescent="0.3">
      <c r="A334" s="1">
        <f t="shared" si="5"/>
        <v>333</v>
      </c>
      <c r="B334" s="1">
        <v>2.1603350503588369E-2</v>
      </c>
      <c r="C334" s="1">
        <v>0.90242202095929347</v>
      </c>
      <c r="D334" s="1">
        <v>0.39117772616328672</v>
      </c>
      <c r="E334" s="2">
        <f>SQRT(horizons_results_fin_use___Copy__2[[#This Row],[X (Position in AU)]]^2+horizons_results_fin_use___Copy__2[[#This Row],[Y (Position in AU)]]^2+horizons_results_fin_use___Copy__2[[#This Row],[Z (Position in AU)]]^2)</f>
        <v>0.98379480691428522</v>
      </c>
    </row>
    <row r="335" spans="1:5" x14ac:dyDescent="0.3">
      <c r="A335" s="1">
        <f t="shared" si="5"/>
        <v>334</v>
      </c>
      <c r="B335" s="1">
        <v>4.1271155474240174E-3</v>
      </c>
      <c r="C335" s="1">
        <v>0.90256503595335935</v>
      </c>
      <c r="D335" s="1">
        <v>0.39123987976808661</v>
      </c>
      <c r="E335" s="2">
        <f>SQRT(horizons_results_fin_use___Copy__2[[#This Row],[X (Position in AU)]]^2+horizons_results_fin_use___Copy__2[[#This Row],[Y (Position in AU)]]^2+horizons_results_fin_use___Copy__2[[#This Row],[Z (Position in AU)]]^2)</f>
        <v>0.98372217659722272</v>
      </c>
    </row>
    <row r="336" spans="1:5" x14ac:dyDescent="0.3">
      <c r="A336" s="1">
        <f t="shared" si="5"/>
        <v>335</v>
      </c>
      <c r="B336" s="1">
        <v>-1.334950054432924E-2</v>
      </c>
      <c r="C336" s="1">
        <v>0.90242890986777502</v>
      </c>
      <c r="D336" s="1">
        <v>0.39118121045288839</v>
      </c>
      <c r="E336" s="2">
        <f>SQRT(horizons_results_fin_use___Copy__2[[#This Row],[X (Position in AU)]]^2+horizons_results_fin_use___Copy__2[[#This Row],[Y (Position in AU)]]^2+horizons_results_fin_use___Copy__2[[#This Row],[Z (Position in AU)]]^2)</f>
        <v>0.98365587780550112</v>
      </c>
    </row>
    <row r="337" spans="1:5" x14ac:dyDescent="0.3">
      <c r="A337" s="1">
        <f t="shared" si="5"/>
        <v>336</v>
      </c>
      <c r="B337" s="1">
        <v>-3.0821503976859781E-2</v>
      </c>
      <c r="C337" s="1">
        <v>0.90201382979493627</v>
      </c>
      <c r="D337" s="1">
        <v>0.39100178892382947</v>
      </c>
      <c r="E337" s="2">
        <f>SQRT(horizons_results_fin_use___Copy__2[[#This Row],[X (Position in AU)]]^2+horizons_results_fin_use___Copy__2[[#This Row],[Y (Position in AU)]]^2+horizons_results_fin_use___Copy__2[[#This Row],[Z (Position in AU)]]^2)</f>
        <v>0.98359611283817028</v>
      </c>
    </row>
    <row r="338" spans="1:5" x14ac:dyDescent="0.3">
      <c r="A338" s="1">
        <f t="shared" si="5"/>
        <v>337</v>
      </c>
      <c r="B338" s="1">
        <v>-4.8283957382515168E-2</v>
      </c>
      <c r="C338" s="1">
        <v>0.90131995402653797</v>
      </c>
      <c r="D338" s="1">
        <v>0.39070165927201461</v>
      </c>
      <c r="E338" s="2">
        <f>SQRT(horizons_results_fin_use___Copy__2[[#This Row],[X (Position in AU)]]^2+horizons_results_fin_use___Copy__2[[#This Row],[Y (Position in AU)]]^2+horizons_results_fin_use___Copy__2[[#This Row],[Z (Position in AU)]]^2)</f>
        <v>0.98354297650119105</v>
      </c>
    </row>
    <row r="339" spans="1:5" x14ac:dyDescent="0.3">
      <c r="A339" s="1">
        <f t="shared" si="5"/>
        <v>338</v>
      </c>
      <c r="B339" s="1">
        <v>-6.5731928022761038E-2</v>
      </c>
      <c r="C339" s="1">
        <v>0.90034739644355144</v>
      </c>
      <c r="D339" s="1">
        <v>0.39028083424131138</v>
      </c>
      <c r="E339" s="2">
        <f>SQRT(horizons_results_fin_use___Copy__2[[#This Row],[X (Position in AU)]]^2+horizons_results_fin_use___Copy__2[[#This Row],[Y (Position in AU)]]^2+horizons_results_fin_use___Copy__2[[#This Row],[Z (Position in AU)]]^2)</f>
        <v>0.98349644138673176</v>
      </c>
    </row>
    <row r="340" spans="1:5" x14ac:dyDescent="0.3">
      <c r="A340" s="1">
        <f t="shared" si="5"/>
        <v>339</v>
      </c>
      <c r="B340" s="1">
        <v>-8.3160433687654634E-2</v>
      </c>
      <c r="C340" s="1">
        <v>0.89909623430258934</v>
      </c>
      <c r="D340" s="1">
        <v>0.38973930282549651</v>
      </c>
      <c r="E340" s="2">
        <f>SQRT(horizons_results_fin_use___Copy__2[[#This Row],[X (Position in AU)]]^2+horizons_results_fin_use___Copy__2[[#This Row],[Y (Position in AU)]]^2+horizons_results_fin_use___Copy__2[[#This Row],[Z (Position in AU)]]^2)</f>
        <v>0.98345636427607686</v>
      </c>
    </row>
    <row r="341" spans="1:5" x14ac:dyDescent="0.3">
      <c r="A341" s="1">
        <f t="shared" si="5"/>
        <v>340</v>
      </c>
      <c r="B341" s="1">
        <v>-0.1005644011735462</v>
      </c>
      <c r="C341" s="1">
        <v>0.89756653665016906</v>
      </c>
      <c r="D341" s="1">
        <v>0.38907704781391972</v>
      </c>
      <c r="E341" s="2">
        <f>SQRT(horizons_results_fin_use___Copy__2[[#This Row],[X (Position in AU)]]^2+horizons_results_fin_use___Copy__2[[#This Row],[Y (Position in AU)]]^2+horizons_results_fin_use___Copy__2[[#This Row],[Z (Position in AU)]]^2)</f>
        <v>0.98342251124995528</v>
      </c>
    </row>
    <row r="342" spans="1:5" x14ac:dyDescent="0.3">
      <c r="A342" s="1">
        <f t="shared" si="5"/>
        <v>341</v>
      </c>
      <c r="B342" s="1">
        <v>-0.117938645979278</v>
      </c>
      <c r="C342" s="1">
        <v>0.89575840327577327</v>
      </c>
      <c r="D342" s="1">
        <v>0.38829406748945772</v>
      </c>
      <c r="E342" s="2">
        <f>SQRT(horizons_results_fin_use___Copy__2[[#This Row],[X (Position in AU)]]^2+horizons_results_fin_use___Copy__2[[#This Row],[Y (Position in AU)]]^2+horizons_results_fin_use___Copy__2[[#This Row],[Z (Position in AU)]]^2)</f>
        <v>0.98339459226807624</v>
      </c>
    </row>
    <row r="343" spans="1:5" x14ac:dyDescent="0.3">
      <c r="A343" s="1">
        <f t="shared" si="5"/>
        <v>342</v>
      </c>
      <c r="B343" s="1">
        <v>-0.13527787271286759</v>
      </c>
      <c r="C343" s="1">
        <v>0.89367200288676429</v>
      </c>
      <c r="D343" s="1">
        <v>0.3873903956208738</v>
      </c>
      <c r="E343" s="2">
        <f>SQRT(horizons_results_fin_use___Copy__2[[#This Row],[X (Position in AU)]]^2+horizons_results_fin_use___Copy__2[[#This Row],[Y (Position in AU)]]^2+horizons_results_fin_use___Copy__2[[#This Row],[Z (Position in AU)]]^2)</f>
        <v>0.98337229481445976</v>
      </c>
    </row>
    <row r="344" spans="1:5" x14ac:dyDescent="0.3">
      <c r="A344" s="1">
        <f t="shared" si="5"/>
        <v>343</v>
      </c>
      <c r="B344" s="1">
        <v>-0.15257668951305259</v>
      </c>
      <c r="C344" s="1">
        <v>0.89130760316176472</v>
      </c>
      <c r="D344" s="1">
        <v>0.38636611634961299</v>
      </c>
      <c r="E344" s="2">
        <f>SQRT(horizons_results_fin_use___Copy__2[[#This Row],[X (Position in AU)]]^2+horizons_results_fin_use___Copy__2[[#This Row],[Y (Position in AU)]]^2+horizons_results_fin_use___Copy__2[[#This Row],[Z (Position in AU)]]^2)</f>
        <v>0.98335530989557129</v>
      </c>
    </row>
    <row r="345" spans="1:5" x14ac:dyDescent="0.3">
      <c r="A345" s="1">
        <f t="shared" si="5"/>
        <v>344</v>
      </c>
      <c r="B345" s="1">
        <v>-0.16982962859762921</v>
      </c>
      <c r="C345" s="1">
        <v>0.88866559061403727</v>
      </c>
      <c r="D345" s="1">
        <v>0.38522137339093232</v>
      </c>
      <c r="E345" s="2">
        <f>SQRT(horizons_results_fin_use___Copy__2[[#This Row],[X (Position in AU)]]^2+horizons_results_fin_use___Copy__2[[#This Row],[Y (Position in AU)]]^2+horizons_results_fin_use___Copy__2[[#This Row],[Z (Position in AU)]]^2)</f>
        <v>0.98334334858593542</v>
      </c>
    </row>
    <row r="346" spans="1:5" x14ac:dyDescent="0.3">
      <c r="A346" s="1">
        <f t="shared" si="5"/>
        <v>345</v>
      </c>
      <c r="B346" s="1">
        <v>-0.1870311671729645</v>
      </c>
      <c r="C346" s="1">
        <v>0.88574648181059934</v>
      </c>
      <c r="D346" s="1">
        <v>0.383956374715967</v>
      </c>
      <c r="E346" s="2">
        <f>SQRT(horizons_results_fin_use___Copy__2[[#This Row],[X (Position in AU)]]^2+horizons_results_fin_use___Copy__2[[#This Row],[Y (Position in AU)]]^2+horizons_results_fin_use___Copy__2[[#This Row],[Z (Position in AU)]]^2)</f>
        <v>0.98333615067227331</v>
      </c>
    </row>
    <row r="347" spans="1:5" x14ac:dyDescent="0.3">
      <c r="A347" s="1">
        <f t="shared" si="5"/>
        <v>346</v>
      </c>
      <c r="B347" s="1">
        <v>-0.20417574586099729</v>
      </c>
      <c r="C347" s="1">
        <v>0.88255092881383201</v>
      </c>
      <c r="D347" s="1">
        <v>0.38257139438443633</v>
      </c>
      <c r="E347" s="2">
        <f>SQRT(horizons_results_fin_use___Copy__2[[#This Row],[X (Position in AU)]]^2+horizons_results_fin_use___Copy__2[[#This Row],[Y (Position in AU)]]^2+horizons_results_fin_use___Copy__2[[#This Row],[Z (Position in AU)]]^2)</f>
        <v>0.98333348816630062</v>
      </c>
    </row>
    <row r="348" spans="1:5" x14ac:dyDescent="0.3">
      <c r="A348" s="1">
        <f t="shared" si="5"/>
        <v>347</v>
      </c>
      <c r="B348" s="1">
        <v>-0.2212577840386257</v>
      </c>
      <c r="C348" s="1">
        <v>0.87907972148846969</v>
      </c>
      <c r="D348" s="1">
        <v>0.38106677294005958</v>
      </c>
      <c r="E348" s="2">
        <f>SQRT(horizons_results_fin_use___Copy__2[[#This Row],[X (Position in AU)]]^2+horizons_results_fin_use___Copy__2[[#This Row],[Y (Position in AU)]]^2+horizons_results_fin_use___Copy__2[[#This Row],[Z (Position in AU)]]^2)</f>
        <v>0.98333516624235473</v>
      </c>
    </row>
    <row r="349" spans="1:5" x14ac:dyDescent="0.3">
      <c r="A349" s="1">
        <f t="shared" si="5"/>
        <v>348</v>
      </c>
      <c r="B349" s="1">
        <v>-0.23827169269575149</v>
      </c>
      <c r="C349" s="1">
        <v>0.87533378846839827</v>
      </c>
      <c r="D349" s="1">
        <v>0.37944291726302859</v>
      </c>
      <c r="E349" s="2">
        <f>SQRT(horizons_results_fin_use___Copy__2[[#This Row],[X (Position in AU)]]^2+horizons_results_fin_use___Copy__2[[#This Row],[Y (Position in AU)]]^2+horizons_results_fin_use___Copy__2[[#This Row],[Z (Position in AU)]]^2)</f>
        <v>0.98334102336657081</v>
      </c>
    </row>
    <row r="350" spans="1:5" x14ac:dyDescent="0.3">
      <c r="A350" s="1">
        <f t="shared" si="5"/>
        <v>349</v>
      </c>
      <c r="B350" s="1">
        <v>-0.2552118858159616</v>
      </c>
      <c r="C350" s="1">
        <v>0.87131419768824436</v>
      </c>
      <c r="D350" s="1">
        <v>0.37770030028607882</v>
      </c>
      <c r="E350" s="2">
        <f>SQRT(horizons_results_fin_use___Copy__2[[#This Row],[X (Position in AU)]]^2+horizons_results_fin_use___Copy__2[[#This Row],[Y (Position in AU)]]^2+horizons_results_fin_use___Copy__2[[#This Row],[Z (Position in AU)]]^2)</f>
        <v>0.98335093155548614</v>
      </c>
    </row>
    <row r="351" spans="1:5" x14ac:dyDescent="0.3">
      <c r="A351" s="1">
        <f t="shared" si="5"/>
        <v>350</v>
      </c>
      <c r="B351" s="1">
        <v>-0.27207279118861738</v>
      </c>
      <c r="C351" s="1">
        <v>0.86702215670277105</v>
      </c>
      <c r="D351" s="1">
        <v>0.3758394606321625</v>
      </c>
      <c r="E351" s="2">
        <f>SQRT(horizons_results_fin_use___Copy__2[[#This Row],[X (Position in AU)]]^2+horizons_results_fin_use___Copy__2[[#This Row],[Y (Position in AU)]]^2+horizons_results_fin_use___Copy__2[[#This Row],[Z (Position in AU)]]^2)</f>
        <v>0.98336479705497104</v>
      </c>
    </row>
    <row r="352" spans="1:5" x14ac:dyDescent="0.3">
      <c r="A352" s="1">
        <f t="shared" si="5"/>
        <v>351</v>
      </c>
      <c r="B352" s="1">
        <v>-0.28884886123057452</v>
      </c>
      <c r="C352" s="1">
        <v>0.86245901260951763</v>
      </c>
      <c r="D352" s="1">
        <v>0.37386100204087741</v>
      </c>
      <c r="E352" s="2">
        <f>SQRT(horizons_results_fin_use___Copy__2[[#This Row],[X (Position in AU)]]^2+horizons_results_fin_use___Copy__2[[#This Row],[Y (Position in AU)]]^2+horizons_results_fin_use___Copy__2[[#This Row],[Z (Position in AU)]]^2)</f>
        <v>0.98338256132219104</v>
      </c>
    </row>
    <row r="353" spans="1:5" x14ac:dyDescent="0.3">
      <c r="A353" s="1">
        <f t="shared" si="5"/>
        <v>352</v>
      </c>
      <c r="B353" s="1">
        <v>-0.30553458401306782</v>
      </c>
      <c r="C353" s="1">
        <v>0.85762625124277569</v>
      </c>
      <c r="D353" s="1">
        <v>0.3717655923987413</v>
      </c>
      <c r="E353" s="2">
        <f>SQRT(horizons_results_fin_use___Copy__2[[#This Row],[X (Position in AU)]]^2+horizons_results_fin_use___Copy__2[[#This Row],[Y (Position in AU)]]^2+horizons_results_fin_use___Copy__2[[#This Row],[Z (Position in AU)]]^2)</f>
        <v>0.98340420201479817</v>
      </c>
    </row>
    <row r="354" spans="1:5" x14ac:dyDescent="0.3">
      <c r="A354" s="1">
        <f t="shared" si="5"/>
        <v>353</v>
      </c>
      <c r="B354" s="1">
        <v>-0.32212449438656071</v>
      </c>
      <c r="C354" s="1">
        <v>0.85252549536596456</v>
      </c>
      <c r="D354" s="1">
        <v>0.36955396223860748</v>
      </c>
      <c r="E354" s="2">
        <f>SQRT(horizons_results_fin_use___Copy__2[[#This Row],[X (Position in AU)]]^2+horizons_results_fin_use___Copy__2[[#This Row],[Y (Position in AU)]]^2+horizons_results_fin_use___Copy__2[[#This Row],[Z (Position in AU)]]^2)</f>
        <v>0.98342973370700704</v>
      </c>
    </row>
    <row r="355" spans="1:5" x14ac:dyDescent="0.3">
      <c r="A355" s="1">
        <f t="shared" si="5"/>
        <v>354</v>
      </c>
      <c r="B355" s="1">
        <v>-0.33861318496078652</v>
      </c>
      <c r="C355" s="1">
        <v>0.84715850176748586</v>
      </c>
      <c r="D355" s="1">
        <v>0.3672269026749061</v>
      </c>
      <c r="E355" s="2">
        <f>SQRT(horizons_results_fin_use___Copy__2[[#This Row],[X (Position in AU)]]^2+horizons_results_fin_use___Copy__2[[#This Row],[Y (Position in AU)]]^2+horizons_results_fin_use___Copy__2[[#This Row],[Z (Position in AU)]]^2)</f>
        <v>0.98345920820053545</v>
      </c>
    </row>
    <row r="356" spans="1:5" x14ac:dyDescent="0.3">
      <c r="A356" s="1">
        <f t="shared" si="5"/>
        <v>355</v>
      </c>
      <c r="B356" s="1">
        <v>-0.3549953167586859</v>
      </c>
      <c r="C356" s="1">
        <v>0.84152715735036299</v>
      </c>
      <c r="D356" s="1">
        <v>0.3647852628337872</v>
      </c>
      <c r="E356" s="2">
        <f>SQRT(horizons_results_fin_use___Copy__2[[#This Row],[X (Position in AU)]]^2+horizons_results_fin_use___Copy__2[[#This Row],[Y (Position in AU)]]^2+horizons_results_fin_use___Copy__2[[#This Row],[Z (Position in AU)]]^2)</f>
        <v>0.98349271449233289</v>
      </c>
    </row>
    <row r="357" spans="1:5" x14ac:dyDescent="0.3">
      <c r="A357" s="1">
        <f t="shared" si="5"/>
        <v>356</v>
      </c>
      <c r="B357" s="1">
        <v>-0.37126562958221943</v>
      </c>
      <c r="C357" s="1">
        <v>0.83563347438491387</v>
      </c>
      <c r="D357" s="1">
        <v>0.36222994686405352</v>
      </c>
      <c r="E357" s="2">
        <f>SQRT(horizons_results_fin_use___Copy__2[[#This Row],[X (Position in AU)]]^2+horizons_results_fin_use___Copy__2[[#This Row],[Y (Position in AU)]]^2+horizons_results_fin_use___Copy__2[[#This Row],[Z (Position in AU)]]^2)</f>
        <v>0.98353037859886128</v>
      </c>
    </row>
    <row r="358" spans="1:5" x14ac:dyDescent="0.3">
      <c r="A358" s="1">
        <f t="shared" si="5"/>
        <v>357</v>
      </c>
      <c r="B358" s="1">
        <v>-0.38741895240129309</v>
      </c>
      <c r="C358" s="1">
        <v>0.82947958498025443</v>
      </c>
      <c r="D358" s="1">
        <v>0.35956191053790698</v>
      </c>
      <c r="E358" s="2">
        <f>SQRT(horizons_results_fin_use___Copy__2[[#This Row],[X (Position in AU)]]^2+horizons_results_fin_use___Copy__2[[#This Row],[Y (Position in AU)]]^2+horizons_results_fin_use___Copy__2[[#This Row],[Z (Position in AU)]]^2)</f>
        <v>0.98357236342243803</v>
      </c>
    </row>
    <row r="359" spans="1:5" x14ac:dyDescent="0.3">
      <c r="A359" s="1">
        <f t="shared" si="5"/>
        <v>358</v>
      </c>
      <c r="B359" s="1">
        <v>-0.4034502142534801</v>
      </c>
      <c r="C359" s="1">
        <v>0.82306773448871118</v>
      </c>
      <c r="D359" s="1">
        <v>0.35678215726118678</v>
      </c>
      <c r="E359" s="2">
        <f>SQRT(horizons_results_fin_use___Copy__2[[#This Row],[X (Position in AU)]]^2+horizons_results_fin_use___Copy__2[[#This Row],[Y (Position in AU)]]^2+horizons_results_fin_use___Copy__2[[#This Row],[Z (Position in AU)]]^2)</f>
        <v>0.98361886860587655</v>
      </c>
    </row>
    <row r="360" spans="1:5" x14ac:dyDescent="0.3">
      <c r="A360" s="1">
        <f t="shared" si="5"/>
        <v>359</v>
      </c>
      <c r="B360" s="1">
        <v>-0.41935445604080818</v>
      </c>
      <c r="C360" s="1">
        <v>0.81640027301764406</v>
      </c>
      <c r="D360" s="1">
        <v>0.35389173303867999</v>
      </c>
      <c r="E360" s="2">
        <f>SQRT(horizons_results_fin_use___Copy__2[[#This Row],[X (Position in AU)]]^2+horizons_results_fin_use___Copy__2[[#This Row],[Y (Position in AU)]]^2+horizons_results_fin_use___Copy__2[[#This Row],[Z (Position in AU)]]^2)</f>
        <v>0.98367012981877533</v>
      </c>
    </row>
    <row r="361" spans="1:5" x14ac:dyDescent="0.3">
      <c r="A361" s="1">
        <f t="shared" si="5"/>
        <v>360</v>
      </c>
      <c r="B361" s="1">
        <v>-0.43512684303336552</v>
      </c>
      <c r="C361" s="1">
        <v>0.80947964361133906</v>
      </c>
      <c r="D361" s="1">
        <v>0.35089171965970428</v>
      </c>
      <c r="E361" s="2">
        <f>SQRT(horizons_results_fin_use___Copy__2[[#This Row],[X (Position in AU)]]^2+horizons_results_fin_use___Copy__2[[#This Row],[Y (Position in AU)]]^2+horizons_results_fin_use___Copy__2[[#This Row],[Z (Position in AU)]]^2)</f>
        <v>0.98372641617223433</v>
      </c>
    </row>
    <row r="362" spans="1:5" x14ac:dyDescent="0.3">
      <c r="A362" s="1">
        <f t="shared" si="5"/>
        <v>361</v>
      </c>
      <c r="B362" s="1">
        <v>-0.45076267667279729</v>
      </c>
      <c r="C362" s="1">
        <v>0.80230836526266669</v>
      </c>
      <c r="D362" s="1">
        <v>0.34778322523981609</v>
      </c>
      <c r="E362" s="2">
        <f>SQRT(horizons_results_fin_use___Copy__2[[#This Row],[X (Position in AU)]]^2+horizons_results_fin_use___Copy__2[[#This Row],[Y (Position in AU)]]^2+horizons_results_fin_use___Copy__2[[#This Row],[Z (Position in AU)]]^2)</f>
        <v>0.98378802361580209</v>
      </c>
    </row>
    <row r="363" spans="1:5" x14ac:dyDescent="0.3">
      <c r="A363" s="1">
        <f t="shared" si="5"/>
        <v>362</v>
      </c>
      <c r="B363" s="1">
        <v>-0.4662574024401257</v>
      </c>
      <c r="C363" s="1">
        <v>0.79488900922113837</v>
      </c>
      <c r="D363" s="1">
        <v>0.34456737153525202</v>
      </c>
      <c r="E363" s="2">
        <f>SQRT(horizons_results_fin_use___Copy__2[[#This Row],[X (Position in AU)]]^2+horizons_results_fin_use___Copy__2[[#This Row],[Y (Position in AU)]]^2+horizons_results_fin_use___Copy__2[[#This Row],[Z (Position in AU)]]^2)</f>
        <v>0.98385526163023018</v>
      </c>
    </row>
    <row r="364" spans="1:5" x14ac:dyDescent="0.3">
      <c r="A364" s="1">
        <f t="shared" si="5"/>
        <v>363</v>
      </c>
      <c r="B364" s="1">
        <v>-0.4816066086566293</v>
      </c>
      <c r="C364" s="1">
        <v>0.78722416872629175</v>
      </c>
      <c r="D364" s="1">
        <v>0.34124527843761088</v>
      </c>
      <c r="E364" s="2">
        <f>SQRT(horizons_results_fin_use___Copy__2[[#This Row],[X (Position in AU)]]^2+horizons_results_fin_use___Copy__2[[#This Row],[Y (Position in AU)]]^2+horizons_results_fin_use___Copy__2[[#This Row],[Z (Position in AU)]]^2)</f>
        <v>0.98392843102763494</v>
      </c>
    </row>
    <row r="365" spans="1:5" x14ac:dyDescent="0.3">
      <c r="A365" s="1">
        <f t="shared" si="5"/>
        <v>364</v>
      </c>
      <c r="B365" s="1">
        <v>-0.49680601048848971</v>
      </c>
      <c r="C365" s="1">
        <v>0.77931642563752346</v>
      </c>
      <c r="D365" s="1">
        <v>0.3378180478359652</v>
      </c>
      <c r="E365" s="2">
        <f>SQRT(horizons_results_fin_use___Copy__2[[#This Row],[X (Position in AU)]]^2+horizons_results_fin_use___Copy__2[[#This Row],[Y (Position in AU)]]^2+horizons_results_fin_use___Copy__2[[#This Row],[Z (Position in AU)]]^2)</f>
        <v>0.98400779304314323</v>
      </c>
    </row>
    <row r="366" spans="1:5" x14ac:dyDescent="0.3">
      <c r="A366" s="1">
        <f t="shared" si="5"/>
        <v>365</v>
      </c>
      <c r="B366" s="1">
        <v>-0.51185141596851258</v>
      </c>
      <c r="C366" s="1">
        <v>0.77116832155773751</v>
      </c>
      <c r="D366" s="1">
        <v>0.3342867510136438</v>
      </c>
      <c r="E366" s="2">
        <f>SQRT(horizons_results_fin_use___Copy__2[[#This Row],[X (Position in AU)]]^2+horizons_results_fin_use___Copy__2[[#This Row],[Y (Position in AU)]]^2+horizons_results_fin_use___Copy__2[[#This Row],[Z (Position in AU)]]^2)</f>
        <v>0.98409353422650192</v>
      </c>
    </row>
    <row r="367" spans="1:5" x14ac:dyDescent="0.3">
      <c r="A367" s="1">
        <f t="shared" si="5"/>
        <v>366</v>
      </c>
      <c r="B367" s="1">
        <v>-0.52673867721830947</v>
      </c>
      <c r="C367" s="1">
        <v>0.76278234330907424</v>
      </c>
      <c r="D367" s="1">
        <v>0.33065242450238452</v>
      </c>
      <c r="E367" s="2">
        <f>SQRT(horizons_results_fin_use___Copy__2[[#This Row],[X (Position in AU)]]^2+horizons_results_fin_use___Copy__2[[#This Row],[Y (Position in AU)]]^2+horizons_results_fin_use___Copy__2[[#This Row],[Z (Position in AU)]]^2)</f>
        <v>0.98418573611441962</v>
      </c>
    </row>
    <row r="368" spans="1:5" x14ac:dyDescent="0.3">
      <c r="A368" s="1">
        <f t="shared" si="5"/>
        <v>367</v>
      </c>
      <c r="B368" s="1">
        <v>-0.54146363770993045</v>
      </c>
      <c r="C368" s="1">
        <v>0.75416092999044526</v>
      </c>
      <c r="D368" s="1">
        <v>0.32691607744098472</v>
      </c>
      <c r="E368" s="2">
        <f>SQRT(horizons_results_fin_use___Copy__2[[#This Row],[X (Position in AU)]]^2+horizons_results_fin_use___Copy__2[[#This Row],[Y (Position in AU)]]^2+horizons_results_fin_use___Copy__2[[#This Row],[Z (Position in AU)]]^2)</f>
        <v>0.98428435981454254</v>
      </c>
    </row>
    <row r="369" spans="1:5" x14ac:dyDescent="0.3">
      <c r="A369" s="1">
        <f t="shared" si="5"/>
        <v>368</v>
      </c>
      <c r="B369" s="1">
        <v>-0.55602209006926417</v>
      </c>
      <c r="C369" s="1">
        <v>0.74530650121071274</v>
      </c>
      <c r="D369" s="1">
        <v>0.32307870926691962</v>
      </c>
      <c r="E369" s="2">
        <f>SQRT(horizons_results_fin_use___Copy__2[[#This Row],[X (Position in AU)]]^2+horizons_results_fin_use___Copy__2[[#This Row],[Y (Position in AU)]]^2+horizons_results_fin_use___Copy__2[[#This Row],[Z (Position in AU)]]^2)</f>
        <v>0.98438925114688536</v>
      </c>
    </row>
    <row r="370" spans="1:5" x14ac:dyDescent="0.3">
      <c r="A370" s="1">
        <f t="shared" si="5"/>
        <v>369</v>
      </c>
      <c r="B370" s="1">
        <v>-0.57040975509785552</v>
      </c>
      <c r="C370" s="1">
        <v>0.73622149782023127</v>
      </c>
      <c r="D370" s="1">
        <v>0.31914133251549931</v>
      </c>
      <c r="E370" s="2">
        <f>SQRT(horizons_results_fin_use___Copy__2[[#This Row],[X (Position in AU)]]^2+horizons_results_fin_use___Copy__2[[#This Row],[Y (Position in AU)]]^2+horizons_results_fin_use___Copy__2[[#This Row],[Z (Position in AU)]]^2)</f>
        <v>0.98450016388176831</v>
      </c>
    </row>
    <row r="371" spans="1:5" x14ac:dyDescent="0.3">
      <c r="A371" s="1">
        <f t="shared" si="5"/>
        <v>370</v>
      </c>
      <c r="B371" s="1">
        <v>-0.5846222837051297</v>
      </c>
      <c r="C371" s="1">
        <v>0.72690842301451664</v>
      </c>
      <c r="D371" s="1">
        <v>0.31510499429951028</v>
      </c>
      <c r="E371" s="2">
        <f>SQRT(horizons_results_fin_use___Copy__2[[#This Row],[X (Position in AU)]]^2+horizons_results_fin_use___Copy__2[[#This Row],[Y (Position in AU)]]^2+horizons_results_fin_use___Copy__2[[#This Row],[Z (Position in AU)]]^2)</f>
        <v>0.98461679220219833</v>
      </c>
    </row>
    <row r="372" spans="1:5" x14ac:dyDescent="0.3">
      <c r="A372" s="1">
        <f t="shared" si="5"/>
        <v>371</v>
      </c>
      <c r="B372" s="1">
        <v>-0.59865527542842445</v>
      </c>
      <c r="C372" s="1">
        <v>0.71736987448675316</v>
      </c>
      <c r="D372" s="1">
        <v>0.31097079203191419</v>
      </c>
      <c r="E372" s="2">
        <f>SQRT(horizons_results_fin_use___Copy__2[[#This Row],[X (Position in AU)]]^2+horizons_results_fin_use___Copy__2[[#This Row],[Y (Position in AU)]]^2+horizons_results_fin_use___Copy__2[[#This Row],[Z (Position in AU)]]^2)</f>
        <v>0.98473880248336854</v>
      </c>
    </row>
    <row r="373" spans="1:5" x14ac:dyDescent="0.3">
      <c r="A373" s="1">
        <f t="shared" si="5"/>
        <v>372</v>
      </c>
      <c r="B373" s="1">
        <v>-0.61250430429523106</v>
      </c>
      <c r="C373" s="1">
        <v>0.70760856415579254</v>
      </c>
      <c r="D373" s="1">
        <v>0.30673988219362769</v>
      </c>
      <c r="E373" s="2">
        <f>SQRT(horizons_results_fin_use___Copy__2[[#This Row],[X (Position in AU)]]^2+horizons_results_fin_use___Copy__2[[#This Row],[Y (Position in AU)]]^2+horizons_results_fin_use___Copy__2[[#This Row],[Z (Position in AU)]]^2)</f>
        <v>0.98486585795983805</v>
      </c>
    </row>
    <row r="374" spans="1:5" x14ac:dyDescent="0.3">
      <c r="A374" s="1">
        <f t="shared" si="5"/>
        <v>373</v>
      </c>
      <c r="B374" s="1">
        <v>-0.62616494450137072</v>
      </c>
      <c r="C374" s="1">
        <v>0.69762732689062379</v>
      </c>
      <c r="D374" s="1">
        <v>0.3024134833832709</v>
      </c>
      <c r="E374" s="2">
        <f>SQRT(horizons_results_fin_use___Copy__2[[#This Row],[X (Position in AU)]]^2+horizons_results_fin_use___Copy__2[[#This Row],[Y (Position in AU)]]^2+horizons_results_fin_use___Copy__2[[#This Row],[Z (Position in AU)]]^2)</f>
        <v>0.98499763445348731</v>
      </c>
    </row>
    <row r="375" spans="1:5" x14ac:dyDescent="0.3">
      <c r="A375" s="1">
        <f t="shared" si="5"/>
        <v>374</v>
      </c>
      <c r="B375" s="1">
        <v>-0.63963279191031386</v>
      </c>
      <c r="C375" s="1">
        <v>0.68742912186770133</v>
      </c>
      <c r="D375" s="1">
        <v>0.29799287580590611</v>
      </c>
      <c r="E375" s="2">
        <f>SQRT(horizons_results_fin_use___Copy__2[[#This Row],[X (Position in AU)]]^2+horizons_results_fin_use___Copy__2[[#This Row],[Y (Position in AU)]]^2+horizons_results_fin_use___Copy__2[[#This Row],[Z (Position in AU)]]^2)</f>
        <v>0.98513382852780773</v>
      </c>
    </row>
    <row r="376" spans="1:5" x14ac:dyDescent="0.3">
      <c r="A376" s="1">
        <f t="shared" si="5"/>
        <v>375</v>
      </c>
      <c r="B376" s="1">
        <v>-0.65290348043615076</v>
      </c>
      <c r="C376" s="1">
        <v>0.67701703021101023</v>
      </c>
      <c r="D376" s="1">
        <v>0.29347939916274368</v>
      </c>
      <c r="E376" s="2">
        <f>SQRT(horizons_results_fin_use___Copy__2[[#This Row],[X (Position in AU)]]^2+horizons_results_fin_use___Copy__2[[#This Row],[Y (Position in AU)]]^2+horizons_results_fin_use___Copy__2[[#This Row],[Z (Position in AU)]]^2)</f>
        <v>0.98527416067524065</v>
      </c>
    </row>
    <row r="377" spans="1:5" x14ac:dyDescent="0.3">
      <c r="A377" s="1">
        <f t="shared" si="5"/>
        <v>376</v>
      </c>
      <c r="B377" s="1">
        <v>-0.66597269416048044</v>
      </c>
      <c r="C377" s="1">
        <v>0.66639425154996124</v>
      </c>
      <c r="D377" s="1">
        <v>0.28887445025726027</v>
      </c>
      <c r="E377" s="2">
        <f>SQRT(horizons_results_fin_use___Copy__2[[#This Row],[X (Position in AU)]]^2+horizons_results_fin_use___Copy__2[[#This Row],[Y (Position in AU)]]^2+horizons_results_fin_use___Copy__2[[#This Row],[Z (Position in AU)]]^2)</f>
        <v>0.98541837606046101</v>
      </c>
    </row>
    <row r="378" spans="1:5" x14ac:dyDescent="0.3">
      <c r="A378" s="1">
        <f t="shared" si="5"/>
        <v>377</v>
      </c>
      <c r="B378" s="1">
        <v>-0.67883617672192365</v>
      </c>
      <c r="C378" s="1">
        <v>0.65556410095358497</v>
      </c>
      <c r="D378" s="1">
        <v>0.28417948097502671</v>
      </c>
      <c r="E378" s="2">
        <f>SQRT(horizons_results_fin_use___Copy__2[[#This Row],[X (Position in AU)]]^2+horizons_results_fin_use___Copy__2[[#This Row],[Y (Position in AU)]]^2+horizons_results_fin_use___Copy__2[[#This Row],[Z (Position in AU)]]^2)</f>
        <v>0.98556624470035314</v>
      </c>
    </row>
    <row r="379" spans="1:5" x14ac:dyDescent="0.3">
      <c r="A379" s="1">
        <f t="shared" si="5"/>
        <v>378</v>
      </c>
      <c r="B379" s="1">
        <v>-0.69148973953550996</v>
      </c>
      <c r="C379" s="1">
        <v>0.64453000673858107</v>
      </c>
      <c r="D379" s="1">
        <v>0.27939599679302918</v>
      </c>
      <c r="E379" s="2">
        <f>SQRT(horizons_results_fin_use___Copy__2[[#This Row],[X (Position in AU)]]^2+horizons_results_fin_use___Copy__2[[#This Row],[Y (Position in AU)]]^2+horizons_results_fin_use___Copy__2[[#This Row],[Z (Position in AU)]]^2)</f>
        <v>0.98571756223235318</v>
      </c>
    </row>
    <row r="380" spans="1:5" x14ac:dyDescent="0.3">
      <c r="A380" s="1">
        <f t="shared" si="5"/>
        <v>379</v>
      </c>
      <c r="B380" s="1">
        <v>-0.70392927008491168</v>
      </c>
      <c r="C380" s="1">
        <v>0.6332955089793868</v>
      </c>
      <c r="D380" s="1">
        <v>0.27452555564657122</v>
      </c>
      <c r="E380" s="2">
        <f>SQRT(horizons_results_fin_use___Copy__2[[#This Row],[X (Position in AU)]]^2+horizons_results_fin_use___Copy__2[[#This Row],[Y (Position in AU)]]^2+horizons_results_fin_use___Copy__2[[#This Row],[Z (Position in AU)]]^2)</f>
        <v>0.98587215179190235</v>
      </c>
    </row>
    <row r="381" spans="1:5" x14ac:dyDescent="0.3">
      <c r="A381" s="1">
        <f t="shared" si="5"/>
        <v>380</v>
      </c>
      <c r="B381" s="1">
        <v>-0.71615074107272081</v>
      </c>
      <c r="C381" s="1">
        <v>0.62186425814180046</v>
      </c>
      <c r="D381" s="1">
        <v>0.26956976680052269</v>
      </c>
      <c r="E381" s="2">
        <f>SQRT(horizons_results_fin_use___Copy__2[[#This Row],[X (Position in AU)]]^2+horizons_results_fin_use___Copy__2[[#This Row],[Y (Position in AU)]]^2+horizons_results_fin_use___Copy__2[[#This Row],[Z (Position in AU)]]^2)</f>
        <v>0.98602986702540973</v>
      </c>
    </row>
    <row r="382" spans="1:5" x14ac:dyDescent="0.3">
      <c r="A382" s="1">
        <f t="shared" si="5"/>
        <v>381</v>
      </c>
      <c r="B382" s="1">
        <v>-0.72815022071376789</v>
      </c>
      <c r="C382" s="1">
        <v>0.61024001308247866</v>
      </c>
      <c r="D382" s="1">
        <v>0.26453028931168682</v>
      </c>
      <c r="E382" s="2">
        <f>SQRT(horizons_results_fin_use___Copy__2[[#This Row],[X (Position in AU)]]^2+horizons_results_fin_use___Copy__2[[#This Row],[Y (Position in AU)]]^2+horizons_results_fin_use___Copy__2[[#This Row],[Z (Position in AU)]]^2)</f>
        <v>0.98619059590716907</v>
      </c>
    </row>
    <row r="383" spans="1:5" x14ac:dyDescent="0.3">
      <c r="A383" s="1">
        <f t="shared" si="5"/>
        <v>382</v>
      </c>
      <c r="B383" s="1">
        <v>-0.7399238839936223</v>
      </c>
      <c r="C383" s="1">
        <v>0.59842663768152282</v>
      </c>
      <c r="D383" s="1">
        <v>0.25940882971288171</v>
      </c>
      <c r="E383" s="2">
        <f>SQRT(horizons_results_fin_use___Copy__2[[#This Row],[X (Position in AU)]]^2+horizons_results_fin_use___Copy__2[[#This Row],[Y (Position in AU)]]^2+horizons_results_fin_use___Copy__2[[#This Row],[Z (Position in AU)]]^2)</f>
        <v>0.9863542648176804</v>
      </c>
    </row>
    <row r="384" spans="1:5" x14ac:dyDescent="0.3">
      <c r="A384" s="1">
        <f t="shared" si="5"/>
        <v>383</v>
      </c>
      <c r="B384" s="1">
        <v>-0.7514680243728572</v>
      </c>
      <c r="C384" s="1">
        <v>0.58642809556614872</v>
      </c>
      <c r="D384" s="1">
        <v>0.25420713867155259</v>
      </c>
      <c r="E384" s="2">
        <f>SQRT(horizons_results_fin_use___Copy__2[[#This Row],[X (Position in AU)]]^2+horizons_results_fin_use___Copy__2[[#This Row],[Y (Position in AU)]]^2+horizons_results_fin_use___Copy__2[[#This Row],[Z (Position in AU)]]^2)</f>
        <v>0.98652084229161785</v>
      </c>
    </row>
    <row r="385" spans="1:5" x14ac:dyDescent="0.3">
      <c r="A385" s="1">
        <f t="shared" si="5"/>
        <v>384</v>
      </c>
      <c r="B385" s="1">
        <v>-0.76277906526751538</v>
      </c>
      <c r="C385" s="1">
        <v>0.57424844266178321</v>
      </c>
      <c r="D385" s="1">
        <v>0.24892700653078029</v>
      </c>
      <c r="E385" s="2">
        <f>SQRT(horizons_results_fin_use___Copy__2[[#This Row],[X (Position in AU)]]^2+horizons_results_fin_use___Copy__2[[#This Row],[Y (Position in AU)]]^2+horizons_results_fin_use___Copy__2[[#This Row],[Z (Position in AU)]]^2)</f>
        <v>0.98669034194636929</v>
      </c>
    </row>
    <row r="386" spans="1:5" x14ac:dyDescent="0.3">
      <c r="A386" s="1">
        <f t="shared" si="5"/>
        <v>385</v>
      </c>
      <c r="B386" s="1">
        <v>-0.77385357069009064</v>
      </c>
      <c r="C386" s="1">
        <v>0.56189181755525031</v>
      </c>
      <c r="D386" s="1">
        <v>0.24357025776635549</v>
      </c>
      <c r="E386" s="2">
        <f>SQRT(horizons_results_fin_use___Copy__2[[#This Row],[X (Position in AU)]]^2+horizons_results_fin_use___Copy__2[[#This Row],[Y (Position in AU)]]^2+horizons_results_fin_use___Copy__2[[#This Row],[Z (Position in AU)]]^2)</f>
        <v>0.98686282429409344</v>
      </c>
    </row>
    <row r="387" spans="1:5" x14ac:dyDescent="0.3">
      <c r="A387" s="1">
        <f t="shared" si="5"/>
        <v>386</v>
      </c>
      <c r="B387" s="1">
        <v>-0.78468825461261393</v>
      </c>
      <c r="C387" s="1">
        <v>0.54936242975466487</v>
      </c>
      <c r="D387" s="1">
        <v>0.2381387444338956</v>
      </c>
      <c r="E387" s="2">
        <f>SQRT(horizons_results_fin_use___Copy__2[[#This Row],[X (Position in AU)]]^2+horizons_results_fin_use___Copy__2[[#This Row],[Y (Position in AU)]]^2+horizons_results_fin_use___Copy__2[[#This Row],[Z (Position in AU)]]^2)</f>
        <v>0.98703839730452825</v>
      </c>
    </row>
    <row r="388" spans="1:5" x14ac:dyDescent="0.3">
      <c r="A388" s="1">
        <f t="shared" ref="A388:A451" si="6">A387+1</f>
        <v>387</v>
      </c>
      <c r="B388" s="1">
        <v>-0.79527998874525963</v>
      </c>
      <c r="C388" s="1">
        <v>0.53666454582473189</v>
      </c>
      <c r="D388" s="1">
        <v>0.23263433861606839</v>
      </c>
      <c r="E388" s="2">
        <f>SQRT(horizons_results_fin_use___Copy__2[[#This Row],[X (Position in AU)]]^2+horizons_results_fin_use___Copy__2[[#This Row],[Y (Position in AU)]]^2+horizons_results_fin_use___Copy__2[[#This Row],[Z (Position in AU)]]^2)</f>
        <v>0.9872172155849297</v>
      </c>
    </row>
    <row r="389" spans="1:5" x14ac:dyDescent="0.3">
      <c r="A389" s="1">
        <f t="shared" si="6"/>
        <v>388</v>
      </c>
      <c r="B389" s="1">
        <v>-0.80562580830553376</v>
      </c>
      <c r="C389" s="1">
        <v>0.52380247312264627</v>
      </c>
      <c r="D389" s="1">
        <v>0.22705892375592221</v>
      </c>
      <c r="E389" s="2">
        <f>SQRT(horizons_results_fin_use___Copy__2[[#This Row],[X (Position in AU)]]^2+horizons_results_fin_use___Copy__2[[#This Row],[Y (Position in AU)]]^2+horizons_results_fin_use___Copy__2[[#This Row],[Z (Position in AU)]]^2)</f>
        <v>0.98739947777712689</v>
      </c>
    </row>
    <row r="390" spans="1:5" x14ac:dyDescent="0.3">
      <c r="A390" s="1">
        <f t="shared" si="6"/>
        <v>389</v>
      </c>
      <c r="B390" s="1">
        <v>-0.81572291483309167</v>
      </c>
      <c r="C390" s="1">
        <v>0.51078054066074319</v>
      </c>
      <c r="D390" s="1">
        <v>0.2214143846933668</v>
      </c>
      <c r="E390" s="2">
        <f>SQRT(horizons_results_fin_use___Copy__2[[#This Row],[X (Position in AU)]]^2+horizons_results_fin_use___Copy__2[[#This Row],[Y (Position in AU)]]^2+horizons_results_fin_use___Copy__2[[#This Row],[Z (Position in AU)]]^2)</f>
        <v>0.98758542124244553</v>
      </c>
    </row>
    <row r="391" spans="1:5" x14ac:dyDescent="0.3">
      <c r="A391" s="1">
        <f t="shared" si="6"/>
        <v>390</v>
      </c>
      <c r="B391" s="1">
        <v>-0.82556867420392133</v>
      </c>
      <c r="C391" s="1">
        <v>0.49760307681038329</v>
      </c>
      <c r="D391" s="1">
        <v>0.21570259637999059</v>
      </c>
      <c r="E391" s="2">
        <f>SQRT(horizons_results_fin_use___Copy__2[[#This Row],[X (Position in AU)]]^2+horizons_results_fin_use___Copy__2[[#This Row],[Y (Position in AU)]]^2+horizons_results_fin_use___Copy__2[[#This Row],[Z (Position in AU)]]^2)</f>
        <v>0.98777531248915595</v>
      </c>
    </row>
    <row r="392" spans="1:5" x14ac:dyDescent="0.3">
      <c r="A392" s="1">
        <f t="shared" si="6"/>
        <v>391</v>
      </c>
      <c r="B392" s="1">
        <v>-0.83516060705259076</v>
      </c>
      <c r="C392" s="1">
        <v>0.48427438451239979</v>
      </c>
      <c r="D392" s="1">
        <v>0.20992541180528271</v>
      </c>
      <c r="E392" s="2">
        <f>SQRT(horizons_results_fin_use___Copy__2[[#This Row],[X (Position in AU)]]^2+horizons_results_fin_use___Copy__2[[#This Row],[Y (Position in AU)]]^2+horizons_results_fin_use___Copy__2[[#This Row],[Z (Position in AU)]]^2)</f>
        <v>0.9879694315053138</v>
      </c>
    </row>
    <row r="393" spans="1:5" x14ac:dyDescent="0.3">
      <c r="A393" s="1">
        <f t="shared" si="6"/>
        <v>392</v>
      </c>
      <c r="B393" s="1">
        <v>-0.84449636858263843</v>
      </c>
      <c r="C393" s="1">
        <v>0.47079871654885702</v>
      </c>
      <c r="D393" s="1">
        <v>0.20408465066578191</v>
      </c>
      <c r="E393" s="2">
        <f>SQRT(horizons_results_fin_use___Copy__2[[#This Row],[X (Position in AU)]]^2+horizons_results_fin_use___Copy__2[[#This Row],[Y (Position in AU)]]^2+horizons_results_fin_use___Copy__2[[#This Row],[Z (Position in AU)]]^2)</f>
        <v>0.9881680488108735</v>
      </c>
    </row>
    <row r="394" spans="1:5" x14ac:dyDescent="0.3">
      <c r="A394" s="1">
        <f t="shared" si="6"/>
        <v>393</v>
      </c>
      <c r="B394" s="1">
        <v>-0.85357371625295231</v>
      </c>
      <c r="C394" s="1">
        <v>0.45718025581775262</v>
      </c>
      <c r="D394" s="1">
        <v>0.1981820914498704</v>
      </c>
      <c r="E394" s="2">
        <f>SQRT(horizons_results_fin_use___Copy__2[[#This Row],[X (Position in AU)]]^2+horizons_results_fin_use___Copy__2[[#This Row],[Y (Position in AU)]]^2+horizons_results_fin_use___Copy__2[[#This Row],[Z (Position in AU)]]^2)</f>
        <v>0.98837139616588765</v>
      </c>
    </row>
    <row r="395" spans="1:5" x14ac:dyDescent="0.3">
      <c r="A395" s="1">
        <f t="shared" si="6"/>
        <v>394</v>
      </c>
      <c r="B395" s="1">
        <v>-0.86239046761986216</v>
      </c>
      <c r="C395" s="1">
        <v>0.44342310705894389</v>
      </c>
      <c r="D395" s="1">
        <v>0.1922194701411819</v>
      </c>
      <c r="E395" s="2">
        <f>SQRT(horizons_results_fin_use___Copy__2[[#This Row],[X (Position in AU)]]^2+horizons_results_fin_use___Copy__2[[#This Row],[Y (Position in AU)]]^2+horizons_results_fin_use___Copy__2[[#This Row],[Z (Position in AU)]]^2)</f>
        <v>0.98857963524279058</v>
      </c>
    </row>
    <row r="396" spans="1:5" x14ac:dyDescent="0.3">
      <c r="A396" s="1">
        <f t="shared" si="6"/>
        <v>395</v>
      </c>
      <c r="B396" s="1">
        <v>-0.87094445563882994</v>
      </c>
      <c r="C396" s="1">
        <v>0.42953130525039918</v>
      </c>
      <c r="D396" s="1">
        <v>0.18619848776751929</v>
      </c>
      <c r="E396" s="2">
        <f>SQRT(horizons_results_fin_use___Copy__2[[#This Row],[X (Position in AU)]]^2+horizons_results_fin_use___Copy__2[[#This Row],[Y (Position in AU)]]^2+horizons_results_fin_use___Copy__2[[#This Row],[Z (Position in AU)]]^2)</f>
        <v>0.98879283161086906</v>
      </c>
    </row>
    <row r="397" spans="1:5" x14ac:dyDescent="0.3">
      <c r="A397" s="1">
        <f t="shared" si="6"/>
        <v>396</v>
      </c>
      <c r="B397" s="1">
        <v>-0.87923349203766743</v>
      </c>
      <c r="C397" s="1">
        <v>0.41550884120090043</v>
      </c>
      <c r="D397" s="1">
        <v>0.18012082635817681</v>
      </c>
      <c r="E397" s="2">
        <f>SQRT(horizons_results_fin_use___Copy__2[[#This Row],[X (Position in AU)]]^2+horizons_results_fin_use___Copy__2[[#This Row],[Y (Position in AU)]]^2+horizons_results_fin_use___Copy__2[[#This Row],[Z (Position in AU)]]^2)</f>
        <v>0.98901094166081827</v>
      </c>
    </row>
    <row r="398" spans="1:5" x14ac:dyDescent="0.3">
      <c r="A398" s="1">
        <f t="shared" si="6"/>
        <v>397</v>
      </c>
      <c r="B398" s="1">
        <v>-0.88725534800145345</v>
      </c>
      <c r="C398" s="1">
        <v>0.40135969863956072</v>
      </c>
      <c r="D398" s="1">
        <v>0.17398816972395001</v>
      </c>
      <c r="E398" s="2">
        <f>SQRT(horizons_results_fin_use___Copy__2[[#This Row],[X (Position in AU)]]^2+horizons_results_fin_use___Copy__2[[#This Row],[Y (Position in AU)]]^2+horizons_results_fin_use___Copy__2[[#This Row],[Z (Position in AU)]]^2)</f>
        <v>0.98923381637159435</v>
      </c>
    </row>
    <row r="399" spans="1:5" x14ac:dyDescent="0.3">
      <c r="A399" s="1">
        <f t="shared" si="6"/>
        <v>398</v>
      </c>
      <c r="B399" s="1">
        <v>-0.89500775537389099</v>
      </c>
      <c r="C399" s="1">
        <v>0.3870878931160181</v>
      </c>
      <c r="D399" s="1">
        <v>0.16780222380313439</v>
      </c>
      <c r="E399" s="2">
        <f>SQRT(horizons_results_fin_use___Copy__2[[#This Row],[X (Position in AU)]]^2+horizons_results_fin_use___Copy__2[[#This Row],[Y (Position in AU)]]^2+horizons_results_fin_use___Copy__2[[#This Row],[Z (Position in AU)]]^2)</f>
        <v>0.98946121980079937</v>
      </c>
    </row>
    <row r="400" spans="1:5" x14ac:dyDescent="0.3">
      <c r="A400" s="1">
        <f t="shared" si="6"/>
        <v>399</v>
      </c>
      <c r="B400" s="1">
        <v>-0.90248842446845445</v>
      </c>
      <c r="C400" s="1">
        <v>0.3726975037111408</v>
      </c>
      <c r="D400" s="1">
        <v>0.16156473214982109</v>
      </c>
      <c r="E400" s="2">
        <f>SQRT(horizons_results_fin_use___Copy__2[[#This Row],[X (Position in AU)]]^2+horizons_results_fin_use___Copy__2[[#This Row],[Y (Position in AU)]]^2+horizons_results_fin_use___Copy__2[[#This Row],[Z (Position in AU)]]^2)</f>
        <v>0.98969285550958308</v>
      </c>
    </row>
    <row r="401" spans="1:5" x14ac:dyDescent="0.3">
      <c r="A401" s="1">
        <f t="shared" si="6"/>
        <v>400</v>
      </c>
      <c r="B401" s="1">
        <v>-0.90969507047682718</v>
      </c>
      <c r="C401" s="1">
        <v>0.35819269289487471</v>
      </c>
      <c r="D401" s="1">
        <v>0.15527748467295829</v>
      </c>
      <c r="E401" s="2">
        <f>SQRT(horizons_results_fin_use___Copy__2[[#This Row],[X (Position in AU)]]^2+horizons_results_fin_use___Copy__2[[#This Row],[Y (Position in AU)]]^2+horizons_results_fin_use___Copy__2[[#This Row],[Z (Position in AU)]]^2)</f>
        <v>0.98992839323836068</v>
      </c>
    </row>
    <row r="402" spans="1:5" x14ac:dyDescent="0.3">
      <c r="A402" s="1">
        <f t="shared" si="6"/>
        <v>401</v>
      </c>
      <c r="B402" s="1">
        <v>-0.91662544064531515</v>
      </c>
      <c r="C402" s="1">
        <v>0.34357771472913817</v>
      </c>
      <c r="D402" s="1">
        <v>0.14894232025281881</v>
      </c>
      <c r="E402" s="2">
        <f>SQRT(horizons_results_fin_use___Copy__2[[#This Row],[X (Position in AU)]]^2+horizons_results_fin_use___Copy__2[[#This Row],[Y (Position in AU)]]^2+horizons_results_fin_use___Copy__2[[#This Row],[Z (Position in AU)]]^2)</f>
        <v>0.99016749050804964</v>
      </c>
    </row>
    <row r="403" spans="1:5" x14ac:dyDescent="0.3">
      <c r="A403" s="1">
        <f t="shared" si="6"/>
        <v>402</v>
      </c>
      <c r="B403" s="1">
        <v>-0.92327733725445571</v>
      </c>
      <c r="C403" s="1">
        <v>0.32885691460944089</v>
      </c>
      <c r="D403" s="1">
        <v>0.14256112522927711</v>
      </c>
      <c r="E403" s="2">
        <f>SQRT(horizons_results_fin_use___Copy__2[[#This Row],[X (Position in AU)]]^2+horizons_results_fin_use___Copy__2[[#This Row],[Y (Position in AU)]]^2+horizons_results_fin_use___Copy__2[[#This Row],[Z (Position in AU)]]^2)</f>
        <v>0.99040980720142135</v>
      </c>
    </row>
    <row r="404" spans="1:5" x14ac:dyDescent="0.3">
      <c r="A404" s="1">
        <f t="shared" si="6"/>
        <v>403</v>
      </c>
      <c r="B404" s="1">
        <v>-0.92964863467246051</v>
      </c>
      <c r="C404" s="1">
        <v>0.31403472445209241</v>
      </c>
      <c r="D404" s="1">
        <v>0.13613582991112691</v>
      </c>
      <c r="E404" s="2">
        <f>SQRT(horizons_results_fin_use___Copy__2[[#This Row],[X (Position in AU)]]^2+horizons_results_fin_use___Copy__2[[#This Row],[Y (Position in AU)]]^2+horizons_results_fin_use___Copy__2[[#This Row],[Z (Position in AU)]]^2)</f>
        <v>0.99065501376395548</v>
      </c>
    </row>
    <row r="405" spans="1:5" x14ac:dyDescent="0.3">
      <c r="A405" s="1">
        <f t="shared" si="6"/>
        <v>404</v>
      </c>
      <c r="B405" s="1">
        <v>-0.93573729101852343</v>
      </c>
      <c r="C405" s="1">
        <v>0.29911565650483302</v>
      </c>
      <c r="D405" s="1">
        <v>0.12966840472471389</v>
      </c>
      <c r="E405" s="2">
        <f>SQRT(horizons_results_fin_use___Copy__2[[#This Row],[X (Position in AU)]]^2+horizons_results_fin_use___Copy__2[[#This Row],[Y (Position in AU)]]^2+horizons_results_fin_use___Copy__2[[#This Row],[Z (Position in AU)]]^2)</f>
        <v>0.99090279490616751</v>
      </c>
    </row>
    <row r="406" spans="1:5" x14ac:dyDescent="0.3">
      <c r="A406" s="1">
        <f t="shared" si="6"/>
        <v>405</v>
      </c>
      <c r="B406" s="1">
        <v>-0.94154135606046652</v>
      </c>
      <c r="C406" s="1">
        <v>0.2841042977578343</v>
      </c>
      <c r="D406" s="1">
        <v>0.12316085692236201</v>
      </c>
      <c r="E406" s="2">
        <f>SQRT(horizons_results_fin_use___Copy__2[[#This Row],[X (Position in AU)]]^2+horizons_results_fin_use___Copy__2[[#This Row],[Y (Position in AU)]]^2+horizons_results_fin_use___Copy__2[[#This Row],[Z (Position in AU)]]^2)</f>
        <v>0.99115285090368621</v>
      </c>
    </row>
    <row r="407" spans="1:5" x14ac:dyDescent="0.3">
      <c r="A407" s="1">
        <f t="shared" si="6"/>
        <v>406</v>
      </c>
      <c r="B407" s="1">
        <v>-0.94705897722662069</v>
      </c>
      <c r="C407" s="1">
        <v>0.26900530582320659</v>
      </c>
      <c r="D407" s="1">
        <v>0.1166152281770233</v>
      </c>
      <c r="E407" s="2">
        <f>SQRT(horizons_results_fin_use___Copy__2[[#This Row],[X (Position in AU)]]^2+horizons_results_fin_use___Copy__2[[#This Row],[Y (Position in AU)]]^2+horizons_results_fin_use___Copy__2[[#This Row],[Z (Position in AU)]]^2)</f>
        <v>0.99140489828795431</v>
      </c>
    </row>
    <row r="408" spans="1:5" x14ac:dyDescent="0.3">
      <c r="A408" s="1">
        <f t="shared" si="6"/>
        <v>407</v>
      </c>
      <c r="B408" s="1">
        <v>-0.9522884054230315</v>
      </c>
      <c r="C408" s="1">
        <v>0.25382340630634093</v>
      </c>
      <c r="D408" s="1">
        <v>0.1100335929627623</v>
      </c>
      <c r="E408" s="2">
        <f>SQRT(horizons_results_fin_use___Copy__2[[#This Row],[X (Position in AU)]]^2+horizons_results_fin_use___Copy__2[[#This Row],[Y (Position in AU)]]^2+horizons_results_fin_use___Copy__2[[#This Row],[Z (Position in AU)]]^2)</f>
        <v>0.99165867125356622</v>
      </c>
    </row>
    <row r="409" spans="1:5" x14ac:dyDescent="0.3">
      <c r="A409" s="1">
        <f t="shared" si="6"/>
        <v>408</v>
      </c>
      <c r="B409" s="1">
        <v>-0.95722800194872393</v>
      </c>
      <c r="C409" s="1">
        <v>0.23856339108983149</v>
      </c>
      <c r="D409" s="1">
        <v>0.1034180573341098</v>
      </c>
      <c r="E409" s="2">
        <f>SQRT(horizons_results_fin_use___Copy__2[[#This Row],[X (Position in AU)]]^2+horizons_results_fin_use___Copy__2[[#This Row],[Y (Position in AU)]]^2+horizons_results_fin_use___Copy__2[[#This Row],[Z (Position in AU)]]^2)</f>
        <v>0.99191392462541195</v>
      </c>
    </row>
    <row r="410" spans="1:5" x14ac:dyDescent="0.3">
      <c r="A410" s="1">
        <f t="shared" si="6"/>
        <v>409</v>
      </c>
      <c r="B410" s="1">
        <v>-0.96187624728068166</v>
      </c>
      <c r="C410" s="1">
        <v>0.22323011653751959</v>
      </c>
      <c r="D410" s="1">
        <v>9.6770757537588736E-2</v>
      </c>
      <c r="E410" s="2">
        <f>SQRT(horizons_results_fin_use___Copy__2[[#This Row],[X (Position in AU)]]^2+horizons_results_fin_use___Copy__2[[#This Row],[Y (Position in AU)]]^2+horizons_results_fin_use___Copy__2[[#This Row],[Z (Position in AU)]]^2)</f>
        <v>0.99217043874856525</v>
      </c>
    </row>
    <row r="411" spans="1:5" x14ac:dyDescent="0.3">
      <c r="A411" s="1">
        <f t="shared" si="6"/>
        <v>410</v>
      </c>
      <c r="B411" s="1">
        <v>-0.96623175187607846</v>
      </c>
      <c r="C411" s="1">
        <v>0.20782850039576381</v>
      </c>
      <c r="D411" s="1">
        <v>9.0093857810994465E-2</v>
      </c>
      <c r="E411" s="2">
        <f>SQRT(horizons_results_fin_use___Copy__2[[#This Row],[X (Position in AU)]]^2+horizons_results_fin_use___Copy__2[[#This Row],[Y (Position in AU)]]^2+horizons_results_fin_use___Copy__2[[#This Row],[Z (Position in AU)]]^2)</f>
        <v>0.99242802616891845</v>
      </c>
    </row>
    <row r="412" spans="1:5" x14ac:dyDescent="0.3">
      <c r="A412" s="1">
        <f t="shared" si="6"/>
        <v>411</v>
      </c>
      <c r="B412" s="1">
        <v>-0.97029326844967601</v>
      </c>
      <c r="C412" s="1">
        <v>0.19236351616639061</v>
      </c>
      <c r="D412" s="1">
        <v>8.3389546771019549E-2</v>
      </c>
      <c r="E412" s="2">
        <f>SQRT(horizons_results_fin_use___Copy__2[[#This Row],[X (Position in AU)]]^2+horizons_results_fin_use___Copy__2[[#This Row],[Y (Position in AU)]]^2+horizons_results_fin_use___Copy__2[[#This Row],[Z (Position in AU)]]^2)</f>
        <v>0.99268653947826258</v>
      </c>
    </row>
    <row r="413" spans="1:5" x14ac:dyDescent="0.3">
      <c r="A413" s="1">
        <f t="shared" si="6"/>
        <v>412</v>
      </c>
      <c r="B413" s="1">
        <v>-0.97405970453660695</v>
      </c>
      <c r="C413" s="1">
        <v>0.1768401840011527</v>
      </c>
      <c r="D413" s="1">
        <v>7.6660031976380161E-2</v>
      </c>
      <c r="E413" s="2">
        <f>SQRT(horizons_results_fin_use___Copy__2[[#This Row],[X (Position in AU)]]^2+horizons_results_fin_use___Copy__2[[#This Row],[Y (Position in AU)]]^2+horizons_results_fin_use___Copy__2[[#This Row],[Z (Position in AU)]]^2)</f>
        <v>0.99294587928150613</v>
      </c>
    </row>
    <row r="414" spans="1:5" x14ac:dyDescent="0.3">
      <c r="A414" s="1">
        <f t="shared" si="6"/>
        <v>413</v>
      </c>
      <c r="B414" s="1">
        <v>-0.97753013371294051</v>
      </c>
      <c r="C414" s="1">
        <v>0.16126355770569009</v>
      </c>
      <c r="D414" s="1">
        <v>6.9907532562463945E-2</v>
      </c>
      <c r="E414" s="2">
        <f>SQRT(horizons_results_fin_use___Copy__2[[#This Row],[X (Position in AU)]]^2+horizons_results_fin_use___Copy__2[[#This Row],[Y (Position in AU)]]^2+horizons_results_fin_use___Copy__2[[#This Row],[Z (Position in AU)]]^2)</f>
        <v>0.99320600102380963</v>
      </c>
    </row>
    <row r="415" spans="1:5" x14ac:dyDescent="0.3">
      <c r="A415" s="1">
        <f t="shared" si="6"/>
        <v>414</v>
      </c>
      <c r="B415" s="1">
        <v>-0.98070380376685273</v>
      </c>
      <c r="C415" s="1">
        <v>0.14563870811452581</v>
      </c>
      <c r="D415" s="1">
        <v>6.3134270198556747E-2</v>
      </c>
      <c r="E415" s="2">
        <f>SQRT(horizons_results_fin_use___Copy__2[[#This Row],[X (Position in AU)]]^2+horizons_results_fin_use___Copy__2[[#This Row],[Y (Position in AU)]]^2+horizons_results_fin_use___Copy__2[[#This Row],[Z (Position in AU)]]^2)</f>
        <v>0.99346691947822097</v>
      </c>
    </row>
    <row r="416" spans="1:5" x14ac:dyDescent="0.3">
      <c r="A416" s="1">
        <f t="shared" si="6"/>
        <v>415</v>
      </c>
      <c r="B416" s="1">
        <v>-0.98358014041118136</v>
      </c>
      <c r="C416" s="1">
        <v>0.12997070369614161</v>
      </c>
      <c r="D416" s="1">
        <v>5.6342458908808499E-2</v>
      </c>
      <c r="E416" s="2">
        <f>SQRT(horizons_results_fin_use___Copy__2[[#This Row],[X (Position in AU)]]^2+horizons_results_fin_use___Copy__2[[#This Row],[Y (Position in AU)]]^2+horizons_results_fin_use___Copy__2[[#This Row],[Z (Position in AU)]]^2)</f>
        <v>0.99372871001417695</v>
      </c>
    </row>
    <row r="417" spans="1:5" x14ac:dyDescent="0.3">
      <c r="A417" s="1">
        <f t="shared" si="6"/>
        <v>416</v>
      </c>
      <c r="B417" s="1">
        <v>-0.98615874564218986</v>
      </c>
      <c r="C417" s="1">
        <v>0.1142645895857355</v>
      </c>
      <c r="D417" s="1">
        <v>4.9534294439137157E-2</v>
      </c>
      <c r="E417" s="2">
        <f>SQRT(horizons_results_fin_use___Copy__2[[#This Row],[X (Position in AU)]]^2+horizons_results_fin_use___Copy__2[[#This Row],[Y (Position in AU)]]^2+horizons_results_fin_use___Copy__2[[#This Row],[Z (Position in AU)]]^2)</f>
        <v>0.99399150618370824</v>
      </c>
    </row>
    <row r="418" spans="1:5" x14ac:dyDescent="0.3">
      <c r="A418" s="1">
        <f t="shared" si="6"/>
        <v>417</v>
      </c>
      <c r="B418" s="1">
        <v>-0.98843939030994565</v>
      </c>
      <c r="C418" s="1">
        <v>9.8525366297822992E-2</v>
      </c>
      <c r="D418" s="1">
        <v>4.2711943849220203E-2</v>
      </c>
      <c r="E418" s="2">
        <f>SQRT(horizons_results_fin_use___Copy__2[[#This Row],[X (Position in AU)]]^2+horizons_results_fin_use___Copy__2[[#This Row],[Y (Position in AU)]]^2+horizons_results_fin_use___Copy__2[[#This Row],[Z (Position in AU)]]^2)</f>
        <v>0.99425549345618214</v>
      </c>
    </row>
    <row r="419" spans="1:5" x14ac:dyDescent="0.3">
      <c r="A419" s="1">
        <f t="shared" si="6"/>
        <v>418</v>
      </c>
      <c r="B419" s="1">
        <v>-0.99042200067532582</v>
      </c>
      <c r="C419" s="1">
        <v>8.2757969319196947E-2</v>
      </c>
      <c r="D419" s="1">
        <v>3.5877535967076449E-2</v>
      </c>
      <c r="E419" s="2">
        <f>SQRT(horizons_results_fin_use___Copy__2[[#This Row],[X (Position in AU)]]^2+horizons_results_fin_use___Copy__2[[#This Row],[Y (Position in AU)]]^2+horizons_results_fin_use___Copy__2[[#This Row],[Z (Position in AU)]]^2)</f>
        <v>0.99452089897328011</v>
      </c>
    </row>
    <row r="420" spans="1:5" x14ac:dyDescent="0.3">
      <c r="A420" s="1">
        <f t="shared" si="6"/>
        <v>419</v>
      </c>
      <c r="B420" s="1">
        <v>-0.99210663873630367</v>
      </c>
      <c r="C420" s="1">
        <v>6.6967250908541179E-2</v>
      </c>
      <c r="D420" s="1">
        <v>2.903315340739469E-2</v>
      </c>
      <c r="E420" s="2">
        <f>SQRT(horizons_results_fin_use___Copy__2[[#This Row],[X (Position in AU)]]^2+horizons_results_fin_use___Copy__2[[#This Row],[Y (Position in AU)]]^2+horizons_results_fin_use___Copy__2[[#This Row],[Z (Position in AU)]]^2)</f>
        <v>0.99478797706630495</v>
      </c>
    </row>
    <row r="421" spans="1:5" x14ac:dyDescent="0.3">
      <c r="A421" s="1">
        <f t="shared" si="6"/>
        <v>420</v>
      </c>
      <c r="B421" s="1">
        <v>-0.99349347625655471</v>
      </c>
      <c r="C421" s="1">
        <v>5.1157965912741632E-2</v>
      </c>
      <c r="D421" s="1">
        <v>2.218082709441252E-2</v>
      </c>
      <c r="E421" s="2">
        <f>SQRT(horizons_results_fin_use___Copy__2[[#This Row],[X (Position in AU)]]^2+horizons_results_fin_use___Copy__2[[#This Row],[Y (Position in AU)]]^2+horizons_results_fin_use___Copy__2[[#This Row],[Z (Position in AU)]]^2)</f>
        <v>0.99505699029314643</v>
      </c>
    </row>
    <row r="422" spans="1:5" x14ac:dyDescent="0.3">
      <c r="A422" s="1">
        <f t="shared" si="6"/>
        <v>421</v>
      </c>
      <c r="B422" s="1">
        <v>-0.99458276321004702</v>
      </c>
      <c r="C422" s="1">
        <v>3.5334764103821942E-2</v>
      </c>
      <c r="D422" s="1">
        <v>1.5322534536734791E-2</v>
      </c>
      <c r="E422" s="2">
        <f>SQRT(horizons_results_fin_use___Copy__2[[#This Row],[X (Position in AU)]]^2+horizons_results_fin_use___Copy__2[[#This Row],[Y (Position in AU)]]^2+horizons_results_fin_use___Copy__2[[#This Row],[Z (Position in AU)]]^2)</f>
        <v>0.99532818632521136</v>
      </c>
    </row>
    <row r="423" spans="1:5" x14ac:dyDescent="0.3">
      <c r="A423" s="1">
        <f t="shared" si="6"/>
        <v>422</v>
      </c>
      <c r="B423" s="1">
        <v>-0.99537479303325105</v>
      </c>
      <c r="C423" s="1">
        <v>1.9502191870394189E-2</v>
      </c>
      <c r="D423" s="1">
        <v>8.4602031598289811E-3</v>
      </c>
      <c r="E423" s="2">
        <f>SQRT(horizons_results_fin_use___Copy__2[[#This Row],[X (Position in AU)]]^2+horizons_results_fin_use___Copy__2[[#This Row],[Y (Position in AU)]]^2+horizons_results_fin_use___Copy__2[[#This Row],[Z (Position in AU)]]^2)</f>
        <v>0.9956017723624454</v>
      </c>
    </row>
    <row r="424" spans="1:5" x14ac:dyDescent="0.3">
      <c r="A424" s="1">
        <f t="shared" si="6"/>
        <v>423</v>
      </c>
      <c r="B424" s="1">
        <v>-0.99586986925813226</v>
      </c>
      <c r="C424" s="1">
        <v>3.6647052765454869E-3</v>
      </c>
      <c r="D424" s="1">
        <v>1.5957194307250711E-3</v>
      </c>
      <c r="E424" s="2">
        <f>SQRT(horizons_results_fin_use___Copy__2[[#This Row],[X (Position in AU)]]^2+horizons_results_fin_use___Copy__2[[#This Row],[Y (Position in AU)]]^2+horizons_results_fin_use___Copy__2[[#This Row],[Z (Position in AU)]]^2)</f>
        <v>0.99587789054756859</v>
      </c>
    </row>
    <row r="425" spans="1:5" x14ac:dyDescent="0.3">
      <c r="A425" s="1">
        <f t="shared" si="6"/>
        <v>424</v>
      </c>
      <c r="B425" s="1">
        <v>-0.99606827958692956</v>
      </c>
      <c r="C425" s="1">
        <v>-1.2173305868008759E-2</v>
      </c>
      <c r="D425" s="1">
        <v>-5.2690568169977076E-3</v>
      </c>
      <c r="E425" s="2">
        <f>SQRT(horizons_results_fin_use___Copy__2[[#This Row],[X (Position in AU)]]^2+horizons_results_fin_use___Copy__2[[#This Row],[Y (Position in AU)]]^2+horizons_results_fin_use___Copy__2[[#This Row],[Z (Position in AU)]]^2)</f>
        <v>0.99615659910215049</v>
      </c>
    </row>
    <row r="426" spans="1:5" x14ac:dyDescent="0.3">
      <c r="A426" s="1">
        <f t="shared" si="6"/>
        <v>425</v>
      </c>
      <c r="B426" s="1">
        <v>-0.99597028286268574</v>
      </c>
      <c r="C426" s="1">
        <v>-2.8007486551945349E-2</v>
      </c>
      <c r="D426" s="1">
        <v>-1.2132275102238349E-2</v>
      </c>
      <c r="E426" s="2">
        <f>SQRT(horizons_results_fin_use___Copy__2[[#This Row],[X (Position in AU)]]^2+horizons_results_fin_use___Copy__2[[#This Row],[Y (Position in AU)]]^2+horizons_results_fin_use___Copy__2[[#This Row],[Z (Position in AU)]]^2)</f>
        <v>0.99643786346550078</v>
      </c>
    </row>
    <row r="427" spans="1:5" x14ac:dyDescent="0.3">
      <c r="A427" s="1">
        <f t="shared" si="6"/>
        <v>426</v>
      </c>
      <c r="B427" s="1">
        <v>-0.99557611127852619</v>
      </c>
      <c r="C427" s="1">
        <v>-4.3833483867802447E-2</v>
      </c>
      <c r="D427" s="1">
        <v>-1.8992077401330389E-2</v>
      </c>
      <c r="E427" s="2">
        <f>SQRT(horizons_results_fin_use___Copy__2[[#This Row],[X (Position in AU)]]^2+horizons_results_fin_use___Copy__2[[#This Row],[Y (Position in AU)]]^2+horizons_results_fin_use___Copy__2[[#This Row],[Z (Position in AU)]]^2)</f>
        <v>0.99672155924334227</v>
      </c>
    </row>
    <row r="428" spans="1:5" x14ac:dyDescent="0.3">
      <c r="A428" s="1">
        <f t="shared" si="6"/>
        <v>427</v>
      </c>
      <c r="B428" s="1">
        <v>-0.99488598584386034</v>
      </c>
      <c r="C428" s="1">
        <v>-5.9646919454010593E-2</v>
      </c>
      <c r="D428" s="1">
        <v>-2.584658480900098E-2</v>
      </c>
      <c r="E428" s="2">
        <f>SQRT(horizons_results_fin_use___Copy__2[[#This Row],[X (Position in AU)]]^2+horizons_results_fin_use___Copy__2[[#This Row],[Y (Position in AU)]]^2+horizons_results_fin_use___Copy__2[[#This Row],[Z (Position in AU)]]^2)</f>
        <v>0.99700748531550754</v>
      </c>
    </row>
    <row r="429" spans="1:5" x14ac:dyDescent="0.3">
      <c r="A429" s="1">
        <f t="shared" si="6"/>
        <v>428</v>
      </c>
      <c r="B429" s="1">
        <v>-0.99390013980176961</v>
      </c>
      <c r="C429" s="1">
        <v>-7.5443371222384925E-2</v>
      </c>
      <c r="D429" s="1">
        <v>-3.2693889549487348E-2</v>
      </c>
      <c r="E429" s="2">
        <f>SQRT(horizons_results_fin_use___Copy__2[[#This Row],[X (Position in AU)]]^2+horizons_results_fin_use___Copy__2[[#This Row],[Y (Position in AU)]]^2+horizons_results_fin_use___Copy__2[[#This Row],[Z (Position in AU)]]^2)</f>
        <v>0.99729538280955143</v>
      </c>
    </row>
    <row r="430" spans="1:5" x14ac:dyDescent="0.3">
      <c r="A430" s="1">
        <f t="shared" si="6"/>
        <v>429</v>
      </c>
      <c r="B430" s="1">
        <v>-0.99261884383391985</v>
      </c>
      <c r="C430" s="1">
        <v>-9.1218365186816183E-2</v>
      </c>
      <c r="D430" s="1">
        <v>-3.9532052347743853E-2</v>
      </c>
      <c r="E430" s="2">
        <f>SQRT(horizons_results_fin_use___Copy__2[[#This Row],[X (Position in AU)]]^2+horizons_results_fin_use___Copy__2[[#This Row],[Y (Position in AU)]]^2+horizons_results_fin_use___Copy__2[[#This Row],[Z (Position in AU)]]^2)</f>
        <v>0.9975849550010103</v>
      </c>
    </row>
    <row r="431" spans="1:5" x14ac:dyDescent="0.3">
      <c r="A431" s="1">
        <f t="shared" si="6"/>
        <v>430</v>
      </c>
      <c r="B431" s="1">
        <v>-0.99104242830759681</v>
      </c>
      <c r="C431" s="1">
        <v>-0.1069673754719231</v>
      </c>
      <c r="D431" s="1">
        <v>-4.635910384772083E-2</v>
      </c>
      <c r="E431" s="2">
        <f>SQRT(horizons_results_fin_use___Copy__2[[#This Row],[X (Position in AU)]]^2+horizons_results_fin_use___Copy__2[[#This Row],[Y (Position in AU)]]^2+horizons_results_fin_use___Copy__2[[#This Row],[Z (Position in AU)]]^2)</f>
        <v>0.99787588438178687</v>
      </c>
    </row>
    <row r="432" spans="1:5" x14ac:dyDescent="0.3">
      <c r="A432" s="1">
        <f t="shared" si="6"/>
        <v>431</v>
      </c>
      <c r="B432" s="1">
        <v>-0.9891713002333764</v>
      </c>
      <c r="C432" s="1">
        <v>-0.122685829330834</v>
      </c>
      <c r="D432" s="1">
        <v>-5.3173048278910853E-2</v>
      </c>
      <c r="E432" s="2">
        <f>SQRT(horizons_results_fin_use___Copy__2[[#This Row],[X (Position in AU)]]^2+horizons_results_fin_use___Copy__2[[#This Row],[Y (Position in AU)]]^2+horizons_results_fin_use___Copy__2[[#This Row],[Z (Position in AU)]]^2)</f>
        <v>0.99816784509783452</v>
      </c>
    </row>
    <row r="433" spans="1:5" x14ac:dyDescent="0.3">
      <c r="A433" s="1">
        <f t="shared" si="6"/>
        <v>432</v>
      </c>
      <c r="B433" s="1">
        <v>-0.9870059547741159</v>
      </c>
      <c r="C433" s="1">
        <v>-0.13836911410856101</v>
      </c>
      <c r="D433" s="1">
        <v>-5.9971867773325513E-2</v>
      </c>
      <c r="E433" s="2">
        <f>SQRT(horizons_results_fin_use___Copy__2[[#This Row],[X (Position in AU)]]^2+horizons_results_fin_use___Copy__2[[#This Row],[Y (Position in AU)]]^2+horizons_results_fin_use___Copy__2[[#This Row],[Z (Position in AU)]]^2)</f>
        <v>0.99846051069783093</v>
      </c>
    </row>
    <row r="434" spans="1:5" x14ac:dyDescent="0.3">
      <c r="A434" s="1">
        <f t="shared" si="6"/>
        <v>433</v>
      </c>
      <c r="B434" s="1">
        <v>-0.98454698250641992</v>
      </c>
      <c r="C434" s="1">
        <v>-0.1540125839272273</v>
      </c>
      <c r="D434" s="1">
        <v>-6.6753526261148999E-2</v>
      </c>
      <c r="E434" s="2">
        <f>SQRT(horizons_results_fin_use___Copy__2[[#This Row],[X (Position in AU)]]^2+horizons_results_fin_use___Copy__2[[#This Row],[Y (Position in AU)]]^2+horizons_results_fin_use___Copy__2[[#This Row],[Z (Position in AU)]]^2)</f>
        <v>0.99875355821080103</v>
      </c>
    </row>
    <row r="435" spans="1:5" x14ac:dyDescent="0.3">
      <c r="A435" s="1">
        <f t="shared" si="6"/>
        <v>434</v>
      </c>
      <c r="B435" s="1">
        <v>-0.98179507420901002</v>
      </c>
      <c r="C435" s="1">
        <v>-0.169611564876649</v>
      </c>
      <c r="D435" s="1">
        <v>-7.3515972433346843E-2</v>
      </c>
      <c r="E435" s="2">
        <f>SQRT(horizons_results_fin_use___Copy__2[[#This Row],[X (Position in AU)]]^2+horizons_results_fin_use___Copy__2[[#This Row],[Y (Position in AU)]]^2+horizons_results_fin_use___Copy__2[[#This Row],[Z (Position in AU)]]^2)</f>
        <v>0.99904667002287828</v>
      </c>
    </row>
    <row r="436" spans="1:5" x14ac:dyDescent="0.3">
      <c r="A436" s="1">
        <f t="shared" si="6"/>
        <v>435</v>
      </c>
      <c r="B436" s="1">
        <v>-0.978751025005687</v>
      </c>
      <c r="C436" s="1">
        <v>-0.18516135838198711</v>
      </c>
      <c r="D436" s="1">
        <v>-8.0257141722848438E-2</v>
      </c>
      <c r="E436" s="2">
        <f>SQRT(horizons_results_fin_use___Copy__2[[#This Row],[X (Position in AU)]]^2+horizons_results_fin_use___Copy__2[[#This Row],[Y (Position in AU)]]^2+horizons_results_fin_use___Copy__2[[#This Row],[Z (Position in AU)]]^2)</f>
        <v>0.99933953508558193</v>
      </c>
    </row>
    <row r="437" spans="1:5" x14ac:dyDescent="0.3">
      <c r="A437" s="1">
        <f t="shared" si="6"/>
        <v>436</v>
      </c>
      <c r="B437" s="1">
        <v>-0.97541573946097537</v>
      </c>
      <c r="C437" s="1">
        <v>-0.2006572431346709</v>
      </c>
      <c r="D437" s="1">
        <v>-8.6974957609986192E-2</v>
      </c>
      <c r="E437" s="2">
        <f>SQRT(horizons_results_fin_use___Copy__2[[#This Row],[X (Position in AU)]]^2+horizons_results_fin_use___Copy__2[[#This Row],[Y (Position in AU)]]^2+horizons_results_fin_use___Copy__2[[#This Row],[Z (Position in AU)]]^2)</f>
        <v>0.99963185086404016</v>
      </c>
    </row>
    <row r="438" spans="1:5" x14ac:dyDescent="0.3">
      <c r="A438" s="1">
        <f t="shared" si="6"/>
        <v>437</v>
      </c>
      <c r="B438" s="1">
        <v>-0.97179023881805127</v>
      </c>
      <c r="C438" s="1">
        <v>-0.2160944765566826</v>
      </c>
      <c r="D438" s="1">
        <v>-9.3667332831891284E-2</v>
      </c>
      <c r="E438" s="2">
        <f>SQRT(horizons_results_fin_use___Copy__2[[#This Row],[X (Position in AU)]]^2+horizons_results_fin_use___Copy__2[[#This Row],[Y (Position in AU)]]^2+horizons_results_fin_use___Copy__2[[#This Row],[Z (Position in AU)]]^2)</f>
        <v>0.99992332721073773</v>
      </c>
    </row>
    <row r="439" spans="1:5" x14ac:dyDescent="0.3">
      <c r="A439" s="1">
        <f t="shared" si="6"/>
        <v>438</v>
      </c>
      <c r="B439" s="1">
        <v>-0.96787567096684368</v>
      </c>
      <c r="C439" s="1">
        <v>-0.23146829724534099</v>
      </c>
      <c r="D439" s="1">
        <v>-0.10033217128093749</v>
      </c>
      <c r="E439" s="2">
        <f>SQRT(horizons_results_fin_use___Copy__2[[#This Row],[X (Position in AU)]]^2+horizons_results_fin_use___Copy__2[[#This Row],[Y (Position in AU)]]^2+horizons_results_fin_use___Copy__2[[#This Row],[Z (Position in AU)]]^2)</f>
        <v>1.0002136930042114</v>
      </c>
    </row>
    <row r="440" spans="1:5" x14ac:dyDescent="0.3">
      <c r="A440" s="1">
        <f t="shared" si="6"/>
        <v>439</v>
      </c>
      <c r="B440" s="1">
        <v>-0.96367332288199281</v>
      </c>
      <c r="C440" s="1">
        <v>-0.24677393014929949</v>
      </c>
      <c r="D440" s="1">
        <v>-0.10696737147633251</v>
      </c>
      <c r="E440" s="2">
        <f>SQRT(horizons_results_fin_use___Copy__2[[#This Row],[X (Position in AU)]]^2+horizons_results_fin_use___Copy__2[[#This Row],[Y (Position in AU)]]^2+horizons_results_fin_use___Copy__2[[#This Row],[Z (Position in AU)]]^2)</f>
        <v>1.0005027058415727</v>
      </c>
    </row>
    <row r="441" spans="1:5" x14ac:dyDescent="0.3">
      <c r="A441" s="1">
        <f t="shared" si="6"/>
        <v>440</v>
      </c>
      <c r="B441" s="1">
        <v>-0.95918463419683397</v>
      </c>
      <c r="C441" s="1">
        <v>-0.26200659618859667</v>
      </c>
      <c r="D441" s="1">
        <v>-0.1135708324006254</v>
      </c>
      <c r="E441" s="2">
        <f>SQRT(horizons_results_fin_use___Copy__2[[#This Row],[X (Position in AU)]]^2+horizons_results_fin_use___Copy__2[[#This Row],[Y (Position in AU)]]^2+horizons_results_fin_use___Copy__2[[#This Row],[Z (Position in AU)]]^2)</f>
        <v>1.0007901642691237</v>
      </c>
    </row>
    <row r="442" spans="1:5" x14ac:dyDescent="0.3">
      <c r="A442" s="1">
        <f t="shared" si="6"/>
        <v>441</v>
      </c>
      <c r="B442" s="1">
        <v>-0.95441120948577507</v>
      </c>
      <c r="C442" s="1">
        <v>-0.27716152745638267</v>
      </c>
      <c r="D442" s="1">
        <v>-0.1201404621223051</v>
      </c>
      <c r="E442" s="2">
        <f>SQRT(horizons_results_fin_use___Copy__2[[#This Row],[X (Position in AU)]]^2+horizons_results_fin_use___Copy__2[[#This Row],[Y (Position in AU)]]^2+horizons_results_fin_use___Copy__2[[#This Row],[Z (Position in AU)]]^2)</f>
        <v>1.0010759210634406</v>
      </c>
    </row>
    <row r="443" spans="1:5" x14ac:dyDescent="0.3">
      <c r="A443" s="1">
        <f t="shared" si="6"/>
        <v>442</v>
      </c>
      <c r="B443" s="1">
        <v>-0.94935482612301891</v>
      </c>
      <c r="C443" s="1">
        <v>-0.29223398796516009</v>
      </c>
      <c r="D443" s="1">
        <v>-0.12667418897257771</v>
      </c>
      <c r="E443" s="2">
        <f>SQRT(horizons_results_fin_use___Copy__2[[#This Row],[X (Position in AU)]]^2+horizons_results_fin_use___Copy__2[[#This Row],[Y (Position in AU)]]^2+horizons_results_fin_use___Copy__2[[#This Row],[Z (Position in AU)]]^2)</f>
        <v>1.0013598952209686</v>
      </c>
    </row>
    <row r="444" spans="1:5" x14ac:dyDescent="0.3">
      <c r="A444" s="1">
        <f t="shared" si="6"/>
        <v>443</v>
      </c>
      <c r="B444" s="1">
        <v>-0.94401743472431365</v>
      </c>
      <c r="C444" s="1">
        <v>-0.30721929836602552</v>
      </c>
      <c r="D444" s="1">
        <v>-0.13316997426325861</v>
      </c>
      <c r="E444" s="2">
        <f>SQRT(horizons_results_fin_use___Copy__2[[#This Row],[X (Position in AU)]]^2+horizons_results_fin_use___Copy__2[[#This Row],[Y (Position in AU)]]^2+horizons_results_fin_use___Copy__2[[#This Row],[Z (Position in AU)]]^2)</f>
        <v>1.001642079985293</v>
      </c>
    </row>
    <row r="445" spans="1:5" x14ac:dyDescent="0.3">
      <c r="A445" s="1">
        <f t="shared" si="6"/>
        <v>444</v>
      </c>
      <c r="B445" s="1">
        <v>-0.93840115034089777</v>
      </c>
      <c r="C445" s="1">
        <v>-0.32211286172383369</v>
      </c>
      <c r="D445" s="1">
        <v>-0.13962582491834091</v>
      </c>
      <c r="E445" s="2">
        <f>SQRT(horizons_results_fin_use___Copy__2[[#This Row],[X (Position in AU)]]^2+horizons_results_fin_use___Copy__2[[#This Row],[Y (Position in AU)]]^2+horizons_results_fin_use___Copy__2[[#This Row],[Z (Position in AU)]]^2)</f>
        <v>1.001922544727468</v>
      </c>
    </row>
    <row r="446" spans="1:5" x14ac:dyDescent="0.3">
      <c r="A446" s="1">
        <f t="shared" si="6"/>
        <v>445</v>
      </c>
      <c r="B446" s="1">
        <v>-0.93250823442511277</v>
      </c>
      <c r="C446" s="1">
        <v>-0.33691018686390711</v>
      </c>
      <c r="D446" s="1">
        <v>-0.14603980422517801</v>
      </c>
      <c r="E446" s="2">
        <f>SQRT(horizons_results_fin_use___Copy__2[[#This Row],[X (Position in AU)]]^2+horizons_results_fin_use___Copy__2[[#This Row],[Y (Position in AU)]]^2+horizons_results_fin_use___Copy__2[[#This Row],[Z (Position in AU)]]^2)</f>
        <v>1.0022014297043496</v>
      </c>
    </row>
    <row r="447" spans="1:5" x14ac:dyDescent="0.3">
      <c r="A447" s="1">
        <f t="shared" si="6"/>
        <v>446</v>
      </c>
      <c r="B447" s="1">
        <v>-0.92634106938430982</v>
      </c>
      <c r="C447" s="1">
        <v>-0.35160690624792579</v>
      </c>
      <c r="D447" s="1">
        <v>-0.15241003926130781</v>
      </c>
      <c r="E447" s="2">
        <f>SQRT(horizons_results_fin_use___Copy__2[[#This Row],[X (Position in AU)]]^2+horizons_results_fin_use___Copy__2[[#This Row],[Y (Position in AU)]]^2+horizons_results_fin_use___Copy__2[[#This Row],[Z (Position in AU)]]^2)</f>
        <v>1.0024789341512059</v>
      </c>
    </row>
    <row r="448" spans="1:5" x14ac:dyDescent="0.3">
      <c r="A448" s="1">
        <f t="shared" si="6"/>
        <v>447</v>
      </c>
      <c r="B448" s="1">
        <v>-0.91990212860599174</v>
      </c>
      <c r="C448" s="1">
        <v>-0.36619878647831222</v>
      </c>
      <c r="D448" s="1">
        <v>-0.158734724214247</v>
      </c>
      <c r="E448" s="2">
        <f>SQRT(horizons_results_fin_use___Copy__2[[#This Row],[X (Position in AU)]]^2+horizons_results_fin_use___Copy__2[[#This Row],[Y (Position in AU)]]^2+horizons_results_fin_use___Copy__2[[#This Row],[Z (Position in AU)]]^2)</f>
        <v>1.0027552992148165</v>
      </c>
    </row>
    <row r="449" spans="1:5" x14ac:dyDescent="0.3">
      <c r="A449" s="1">
        <f t="shared" si="6"/>
        <v>448</v>
      </c>
      <c r="B449" s="1">
        <v>-0.91319394500065465</v>
      </c>
      <c r="C449" s="1">
        <v>-0.38068173075534012</v>
      </c>
      <c r="D449" s="1">
        <v>-0.16501211945483549</v>
      </c>
      <c r="E449" s="2">
        <f>SQRT(horizons_results_fin_use___Copy__2[[#This Row],[X (Position in AU)]]^2+horizons_results_fin_use___Copy__2[[#This Row],[Y (Position in AU)]]^2+horizons_results_fin_use___Copy__2[[#This Row],[Z (Position in AU)]]^2)</f>
        <v>1.0030307876051048</v>
      </c>
    </row>
    <row r="450" spans="1:5" x14ac:dyDescent="0.3">
      <c r="A450" s="1">
        <f t="shared" si="6"/>
        <v>449</v>
      </c>
      <c r="B450" s="1">
        <v>-0.90621908073778268</v>
      </c>
      <c r="C450" s="1">
        <v>-0.39505177345369291</v>
      </c>
      <c r="D450" s="1">
        <v>-0.17124054663465979</v>
      </c>
      <c r="E450" s="2">
        <f>SQRT(horizons_results_fin_use___Copy__2[[#This Row],[X (Position in AU)]]^2+horizons_results_fin_use___Copy__2[[#This Row],[Y (Position in AU)]]^2+horizons_results_fin_use___Copy__2[[#This Row],[Z (Position in AU)]]^2)</f>
        <v>1.0033056617072771</v>
      </c>
    </row>
    <row r="451" spans="1:5" x14ac:dyDescent="0.3">
      <c r="A451" s="1">
        <f t="shared" si="6"/>
        <v>450</v>
      </c>
      <c r="B451" s="1">
        <v>-0.89898010047695442</v>
      </c>
      <c r="C451" s="1">
        <v>-0.40930506741765932</v>
      </c>
      <c r="D451" s="1">
        <v>-0.17741838027622189</v>
      </c>
      <c r="E451" s="2">
        <f>SQRT(horizons_results_fin_use___Copy__2[[#This Row],[X (Position in AU)]]^2+horizons_results_fin_use___Copy__2[[#This Row],[Y (Position in AU)]]^2+horizons_results_fin_use___Copy__2[[#This Row],[Z (Position in AU)]]^2)</f>
        <v>1.0035801616847395</v>
      </c>
    </row>
    <row r="452" spans="1:5" x14ac:dyDescent="0.3">
      <c r="A452" s="1">
        <f t="shared" ref="A452:A515" si="7">A451+1</f>
        <v>451</v>
      </c>
      <c r="B452" s="1">
        <v>-0.89147955027376125</v>
      </c>
      <c r="C452" s="1">
        <v>-0.42343786492562868</v>
      </c>
      <c r="D452" s="1">
        <v>-0.18354403649715489</v>
      </c>
      <c r="E452" s="2">
        <f>SQRT(horizons_results_fin_use___Copy__2[[#This Row],[X (Position in AU)]]^2+horizons_results_fin_use___Copy__2[[#This Row],[Y (Position in AU)]]^2+horizons_results_fin_use___Copy__2[[#This Row],[Z (Position in AU)]]^2)</f>
        <v>1.0038544851435149</v>
      </c>
    </row>
    <row r="453" spans="1:5" x14ac:dyDescent="0.3">
      <c r="A453" s="1">
        <f t="shared" si="7"/>
        <v>452</v>
      </c>
      <c r="B453" s="1">
        <v>-0.88371994426614398</v>
      </c>
      <c r="C453" s="1">
        <v>-0.43744649388758539</v>
      </c>
      <c r="D453" s="1">
        <v>-0.18961595981934251</v>
      </c>
      <c r="E453" s="2">
        <f>SQRT(horizons_results_fin_use___Copy__2[[#This Row],[X (Position in AU)]]^2+horizons_results_fin_use___Copy__2[[#This Row],[Y (Position in AU)]]^2+horizons_results_fin_use___Copy__2[[#This Row],[Z (Position in AU)]]^2)</f>
        <v>1.0041287701916066</v>
      </c>
    </row>
    <row r="454" spans="1:5" x14ac:dyDescent="0.3">
      <c r="A454" s="1">
        <f t="shared" si="7"/>
        <v>453</v>
      </c>
      <c r="B454" s="1">
        <v>-0.87570376075057277</v>
      </c>
      <c r="C454" s="1">
        <v>-0.45132733172936879</v>
      </c>
      <c r="D454" s="1">
        <v>-0.1956326094365263</v>
      </c>
      <c r="E454" s="2">
        <f>SQRT(horizons_results_fin_use___Copy__2[[#This Row],[X (Position in AU)]]^2+horizons_results_fin_use___Copy__2[[#This Row],[Y (Position in AU)]]^2+horizons_results_fin_use___Copy__2[[#This Row],[Z (Position in AU)]]^2)</f>
        <v>1.0044030838431315</v>
      </c>
    </row>
    <row r="455" spans="1:5" x14ac:dyDescent="0.3">
      <c r="A455" s="1">
        <f t="shared" si="7"/>
        <v>454</v>
      </c>
      <c r="B455" s="1">
        <v>-0.86743344802715705</v>
      </c>
      <c r="C455" s="1">
        <v>-0.46507678018160342</v>
      </c>
      <c r="D455" s="1">
        <v>-0.20159244662179651</v>
      </c>
      <c r="E455" s="2">
        <f>SQRT(horizons_results_fin_use___Copy__2[[#This Row],[X (Position in AU)]]^2+horizons_results_fin_use___Copy__2[[#This Row],[Y (Position in AU)]]^2+horizons_results_fin_use___Copy__2[[#This Row],[Z (Position in AU)]]^2)</f>
        <v>1.0046774172615467</v>
      </c>
    </row>
    <row r="456" spans="1:5" x14ac:dyDescent="0.3">
      <c r="A456" s="1">
        <f t="shared" si="7"/>
        <v>455</v>
      </c>
      <c r="B456" s="1">
        <v>-0.85891143862833574</v>
      </c>
      <c r="C456" s="1">
        <v>-0.47869124426528431</v>
      </c>
      <c r="D456" s="1">
        <v>-0.20749392487318269</v>
      </c>
      <c r="E456" s="2">
        <f>SQRT(horizons_results_fin_use___Copy__2[[#This Row],[X (Position in AU)]]^2+horizons_results_fin_use___Copy__2[[#This Row],[Y (Position in AU)]]^2+horizons_results_fin_use___Copy__2[[#This Row],[Z (Position in AU)]]^2)</f>
        <v>1.00495168819308</v>
      </c>
    </row>
    <row r="457" spans="1:5" x14ac:dyDescent="0.3">
      <c r="A457" s="1">
        <f t="shared" si="7"/>
        <v>456</v>
      </c>
      <c r="B457" s="1">
        <v>-0.85014016892943933</v>
      </c>
      <c r="C457" s="1">
        <v>-0.49216711786876099</v>
      </c>
      <c r="D457" s="1">
        <v>-0.21333548382350201</v>
      </c>
      <c r="E457" s="2">
        <f>SQRT(horizons_results_fin_use___Copy__2[[#This Row],[X (Position in AU)]]^2+horizons_results_fin_use___Copy__2[[#This Row],[Y (Position in AU)]]^2+horizons_results_fin_use___Copy__2[[#This Row],[Z (Position in AU)]]^2)</f>
        <v>1.0052257494696533</v>
      </c>
    </row>
    <row r="458" spans="1:5" x14ac:dyDescent="0.3">
      <c r="A458" s="1">
        <f t="shared" si="7"/>
        <v>457</v>
      </c>
      <c r="B458" s="1">
        <v>-0.84112210039357749</v>
      </c>
      <c r="C458" s="1">
        <v>-0.50550077670788851</v>
      </c>
      <c r="D458" s="1">
        <v>-0.21911554706548089</v>
      </c>
      <c r="E458" s="2">
        <f>SQRT(horizons_results_fin_use___Copy__2[[#This Row],[X (Position in AU)]]^2+horizons_results_fin_use___Copy__2[[#This Row],[Y (Position in AU)]]^2+horizons_results_fin_use___Copy__2[[#This Row],[Z (Position in AU)]]^2)</f>
        <v>1.0054994012870355</v>
      </c>
    </row>
    <row r="459" spans="1:5" x14ac:dyDescent="0.3">
      <c r="A459" s="1">
        <f t="shared" si="7"/>
        <v>458</v>
      </c>
      <c r="B459" s="1">
        <v>-0.83185973909830913</v>
      </c>
      <c r="C459" s="1">
        <v>-0.51868857780416322</v>
      </c>
      <c r="D459" s="1">
        <v>-0.2248325232183459</v>
      </c>
      <c r="E459" s="2">
        <f>SQRT(horizons_results_fin_use___Copy__2[[#This Row],[X (Position in AU)]]^2+horizons_results_fin_use___Copy__2[[#This Row],[Y (Position in AU)]]^2+horizons_results_fin_use___Copy__2[[#This Row],[Z (Position in AU)]]^2)</f>
        <v>1.0057724045597694</v>
      </c>
    </row>
    <row r="460" spans="1:5" x14ac:dyDescent="0.3">
      <c r="A460" s="1">
        <f t="shared" si="7"/>
        <v>459</v>
      </c>
      <c r="B460" s="1">
        <v>-0.82235565142065337</v>
      </c>
      <c r="C460" s="1">
        <v>-0.53172686350863774</v>
      </c>
      <c r="D460" s="1">
        <v>-0.23048480907697649</v>
      </c>
      <c r="E460" s="2">
        <f>SQRT(horizons_results_fin_use___Copy__2[[#This Row],[X (Position in AU)]]^2+horizons_results_fin_use___Copy__2[[#This Row],[Y (Position in AU)]]^2+horizons_results_fin_use___Copy__2[[#This Row],[Z (Position in AU)]]^2)</f>
        <v>1.0060444930595618</v>
      </c>
    </row>
    <row r="461" spans="1:5" x14ac:dyDescent="0.3">
      <c r="A461" s="1">
        <f t="shared" si="7"/>
        <v>460</v>
      </c>
      <c r="B461" s="1">
        <v>-0.81261247522474289</v>
      </c>
      <c r="C461" s="1">
        <v>-0.54461196777453935</v>
      </c>
      <c r="D461" s="1">
        <v>-0.2360707936179747</v>
      </c>
      <c r="E461" s="2">
        <f>SQRT(horizons_results_fin_use___Copy__2[[#This Row],[X (Position in AU)]]^2+horizons_results_fin_use___Copy__2[[#This Row],[Y (Position in AU)]]^2+horizons_results_fin_use___Copy__2[[#This Row],[Z (Position in AU)]]^2)</f>
        <v>1.0063153829359659</v>
      </c>
    </row>
    <row r="462" spans="1:5" x14ac:dyDescent="0.3">
      <c r="A462" s="1">
        <f t="shared" si="7"/>
        <v>461</v>
      </c>
      <c r="B462" s="1">
        <v>-0.80263292710536038</v>
      </c>
      <c r="C462" s="1">
        <v>-0.55734022269677863</v>
      </c>
      <c r="D462" s="1">
        <v>-0.2415888618816999</v>
      </c>
      <c r="E462" s="2">
        <f>SQRT(horizons_results_fin_use___Copy__2[[#This Row],[X (Position in AU)]]^2+horizons_results_fin_use___Copy__2[[#This Row],[Y (Position in AU)]]^2+horizons_results_fin_use___Copy__2[[#This Row],[Z (Position in AU)]]^2)</f>
        <v>1.0065847791888713</v>
      </c>
    </row>
    <row r="463" spans="1:5" x14ac:dyDescent="0.3">
      <c r="A463" s="1">
        <f t="shared" si="7"/>
        <v>462</v>
      </c>
      <c r="B463" s="1">
        <v>-0.79241980698313708</v>
      </c>
      <c r="C463" s="1">
        <v>-0.56990796398913657</v>
      </c>
      <c r="D463" s="1">
        <v>-0.24703739813547751</v>
      </c>
      <c r="E463" s="2">
        <f>SQRT(horizons_results_fin_use___Copy__2[[#This Row],[X (Position in AU)]]^2+horizons_results_fin_use___Copy__2[[#This Row],[Y (Position in AU)]]^2+horizons_results_fin_use___Copy__2[[#This Row],[Z (Position in AU)]]^2)</f>
        <v>1.0068523794454585</v>
      </c>
    </row>
    <row r="464" spans="1:5" x14ac:dyDescent="0.3">
      <c r="A464" s="1">
        <f t="shared" si="7"/>
        <v>463</v>
      </c>
      <c r="B464" s="1">
        <v>-0.78197600165726011</v>
      </c>
      <c r="C464" s="1">
        <v>-0.58231153480537634</v>
      </c>
      <c r="D464" s="1">
        <v>-0.25241478812229778</v>
      </c>
      <c r="E464" s="2">
        <f>SQRT(horizons_results_fin_use___Copy__2[[#This Row],[X (Position in AU)]]^2+horizons_results_fin_use___Copy__2[[#This Row],[Y (Position in AU)]]^2+horizons_results_fin_use___Copy__2[[#This Row],[Z (Position in AU)]]^2)</f>
        <v>1.0071178759202384</v>
      </c>
    </row>
    <row r="465" spans="1:5" x14ac:dyDescent="0.3">
      <c r="A465" s="1">
        <f t="shared" si="7"/>
        <v>464</v>
      </c>
      <c r="B465" s="1">
        <v>-0.77130448892513237</v>
      </c>
      <c r="C465" s="1">
        <v>-0.59454728800913914</v>
      </c>
      <c r="D465" s="1">
        <v>-0.25771942055817609</v>
      </c>
      <c r="E465" s="2">
        <f>SQRT(horizons_results_fin_use___Copy__2[[#This Row],[X (Position in AU)]]^2+horizons_results_fin_use___Copy__2[[#This Row],[Y (Position in AU)]]^2+horizons_results_fin_use___Copy__2[[#This Row],[Z (Position in AU)]]^2)</f>
        <v>1.0073809567625964</v>
      </c>
    </row>
    <row r="466" spans="1:5" x14ac:dyDescent="0.3">
      <c r="A466" s="1">
        <f t="shared" si="7"/>
        <v>465</v>
      </c>
      <c r="B466" s="1">
        <v>-0.7604083436613247</v>
      </c>
      <c r="C466" s="1">
        <v>-0.60661158765046541</v>
      </c>
      <c r="D466" s="1">
        <v>-0.26294968836110649</v>
      </c>
      <c r="E466" s="2">
        <f>SQRT(horizons_results_fin_use___Copy__2[[#This Row],[X (Position in AU)]]^2+horizons_results_fin_use___Copy__2[[#This Row],[Y (Position in AU)]]^2+horizons_results_fin_use___Copy__2[[#This Row],[Z (Position in AU)]]^2)</f>
        <v>1.0076413081998874</v>
      </c>
    </row>
    <row r="467" spans="1:5" x14ac:dyDescent="0.3">
      <c r="A467" s="1">
        <f t="shared" si="7"/>
        <v>466</v>
      </c>
      <c r="B467" s="1">
        <v>-0.74929074679493457</v>
      </c>
      <c r="C467" s="1">
        <v>-0.61850081103620147</v>
      </c>
      <c r="D467" s="1">
        <v>-0.26810399038524663</v>
      </c>
      <c r="E467" s="2">
        <f>SQRT(horizons_results_fin_use___Copy__2[[#This Row],[X (Position in AU)]]^2+horizons_results_fin_use___Copy__2[[#This Row],[Y (Position in AU)]]^2+horizons_results_fin_use___Copy__2[[#This Row],[Z (Position in AU)]]^2)</f>
        <v>1.0078986189818111</v>
      </c>
    </row>
    <row r="468" spans="1:5" x14ac:dyDescent="0.3">
      <c r="A468" s="1">
        <f t="shared" si="7"/>
        <v>467</v>
      </c>
      <c r="B468" s="1">
        <v>-0.7379549973287618</v>
      </c>
      <c r="C468" s="1">
        <v>-0.63021135334393574</v>
      </c>
      <c r="D468" s="1">
        <v>-0.27318073466602411</v>
      </c>
      <c r="E468" s="2">
        <f>SQRT(horizons_results_fin_use___Copy__2[[#This Row],[X (Position in AU)]]^2+horizons_results_fin_use___Copy__2[[#This Row],[Y (Position in AU)]]^2+horizons_results_fin_use___Copy__2[[#This Row],[Z (Position in AU)]]^2)</f>
        <v>1.0081525885295124</v>
      </c>
    </row>
    <row r="469" spans="1:5" x14ac:dyDescent="0.3">
      <c r="A469" s="1">
        <f t="shared" si="7"/>
        <v>468</v>
      </c>
      <c r="B469" s="1">
        <v>-0.72640452630040153</v>
      </c>
      <c r="C469" s="1">
        <v>-0.64173963703105708</v>
      </c>
      <c r="D469" s="1">
        <v>-0.27817834424918592</v>
      </c>
      <c r="E469" s="2">
        <f>SQRT(horizons_results_fin_use___Copy__2[[#This Row],[X (Position in AU)]]^2+horizons_results_fin_use___Copy__2[[#This Row],[Y (Position in AU)]]^2+horizons_results_fin_use___Copy__2[[#This Row],[Z (Position in AU)]]^2)</f>
        <v>1.0084029396901233</v>
      </c>
    </row>
    <row r="470" spans="1:5" x14ac:dyDescent="0.3">
      <c r="A470" s="1">
        <f t="shared" si="7"/>
        <v>469</v>
      </c>
      <c r="B470" s="1">
        <v>-0.71464290997235502</v>
      </c>
      <c r="C470" s="1">
        <v>-0.65308212797176912</v>
      </c>
      <c r="D470" s="1">
        <v>-0.28309526640090882</v>
      </c>
      <c r="E470" s="2">
        <f>SQRT(horizons_results_fin_use___Copy__2[[#This Row],[X (Position in AU)]]^2+horizons_results_fin_use___Copy__2[[#This Row],[Y (Position in AU)]]^2+horizons_results_fin_use___Copy__2[[#This Row],[Z (Position in AU)]]^2)</f>
        <v>1.0086494358836926</v>
      </c>
    </row>
    <row r="471" spans="1:5" x14ac:dyDescent="0.3">
      <c r="A471" s="1">
        <f t="shared" si="7"/>
        <v>470</v>
      </c>
      <c r="B471" s="1">
        <v>-0.70267387802766268</v>
      </c>
      <c r="C471" s="1">
        <v>-0.66423535893736074</v>
      </c>
      <c r="D471" s="1">
        <v>-0.28792998521694529</v>
      </c>
      <c r="E471" s="2">
        <f>SQRT(horizons_results_fin_use___Copy__2[[#This Row],[X (Position in AU)]]^2+horizons_results_fin_use___Copy__2[[#This Row],[Y (Position in AU)]]^2+horizons_results_fin_use___Copy__2[[#This Row],[Z (Position in AU)]]^2)</f>
        <v>1.0088919007069634</v>
      </c>
    </row>
    <row r="472" spans="1:5" x14ac:dyDescent="0.3">
      <c r="A472" s="1">
        <f t="shared" si="7"/>
        <v>471</v>
      </c>
      <c r="B472" s="1">
        <v>-0.69050131203414822</v>
      </c>
      <c r="C472" s="1">
        <v>-0.67519595868856808</v>
      </c>
      <c r="D472" s="1">
        <v>-0.2926810364137033</v>
      </c>
      <c r="E472" s="2">
        <f>SQRT(horizons_results_fin_use___Copy__2[[#This Row],[X (Position in AU)]]^2+horizons_results_fin_use___Copy__2[[#This Row],[Y (Position in AU)]]^2+horizons_results_fin_use___Copy__2[[#This Row],[Z (Position in AU)]]^2)</f>
        <v>1.0091302362066326</v>
      </c>
    </row>
    <row r="473" spans="1:5" x14ac:dyDescent="0.3">
      <c r="A473" s="1">
        <f t="shared" si="7"/>
        <v>472</v>
      </c>
      <c r="B473" s="1">
        <v>-0.67812923081311915</v>
      </c>
      <c r="C473" s="1">
        <v>-0.68596068227920459</v>
      </c>
      <c r="D473" s="1">
        <v>-0.29734702181611938</v>
      </c>
      <c r="E473" s="2">
        <f>SQRT(horizons_results_fin_use___Copy__2[[#This Row],[X (Position in AU)]]^2+horizons_results_fin_use___Copy__2[[#This Row],[Y (Position in AU)]]^2+horizons_results_fin_use___Copy__2[[#This Row],[Z (Position in AU)]]^2)</f>
        <v>1.0093644350278348</v>
      </c>
    </row>
    <row r="474" spans="1:5" x14ac:dyDescent="0.3">
      <c r="A474" s="1">
        <f t="shared" si="7"/>
        <v>473</v>
      </c>
      <c r="B474" s="1">
        <v>-0.66556176266295364</v>
      </c>
      <c r="C474" s="1">
        <v>-0.69652643654395729</v>
      </c>
      <c r="D474" s="1">
        <v>-0.3019266204584421</v>
      </c>
      <c r="E474" s="2">
        <f>SQRT(horizons_results_fin_use___Copy__2[[#This Row],[X (Position in AU)]]^2+horizons_results_fin_use___Copy__2[[#This Row],[Y (Position in AU)]]^2+horizons_results_fin_use___Copy__2[[#This Row],[Z (Position in AU)]]^2)</f>
        <v>1.0095945824265784</v>
      </c>
    </row>
    <row r="475" spans="1:5" x14ac:dyDescent="0.3">
      <c r="A475" s="1">
        <f t="shared" si="7"/>
        <v>474</v>
      </c>
      <c r="B475" s="1">
        <v>-0.65280310835487942</v>
      </c>
      <c r="C475" s="1">
        <v>-0.7068902953438525</v>
      </c>
      <c r="D475" s="1">
        <v>-0.30641859379915343</v>
      </c>
      <c r="E475" s="2">
        <f>SQRT(horizons_results_fin_use___Copy__2[[#This Row],[X (Position in AU)]]^2+horizons_results_fin_use___Copy__2[[#This Row],[Y (Position in AU)]]^2+horizons_results_fin_use___Copy__2[[#This Row],[Z (Position in AU)]]^2)</f>
        <v>1.0098208467619205</v>
      </c>
    </row>
    <row r="476" spans="1:5" x14ac:dyDescent="0.3">
      <c r="A476" s="1">
        <f t="shared" si="7"/>
        <v>475</v>
      </c>
      <c r="B476" s="1">
        <v>-0.63985750142759545</v>
      </c>
      <c r="C476" s="1">
        <v>-0.71704950191297878</v>
      </c>
      <c r="D476" s="1">
        <v>-0.31082178415018019</v>
      </c>
      <c r="E476" s="2">
        <f>SQRT(horizons_results_fin_use___Copy__2[[#This Row],[X (Position in AU)]]^2+horizons_results_fin_use___Copy__2[[#This Row],[Y (Position in AU)]]^2+horizons_results_fin_use___Copy__2[[#This Row],[Z (Position in AU)]]^2)</f>
        <v>1.0100434603664921</v>
      </c>
    </row>
    <row r="477" spans="1:5" x14ac:dyDescent="0.3">
      <c r="A477" s="1">
        <f t="shared" si="7"/>
        <v>476</v>
      </c>
      <c r="B477" s="1">
        <v>-0.62672917231178726</v>
      </c>
      <c r="C477" s="1">
        <v>-0.72700145915018644</v>
      </c>
      <c r="D477" s="1">
        <v>-0.31513510721034382</v>
      </c>
      <c r="E477" s="2">
        <f>SQRT(horizons_results_fin_use___Copy__2[[#This Row],[X (Position in AU)]]^2+horizons_results_fin_use___Copy__2[[#This Row],[Y (Position in AU)]]^2+horizons_results_fin_use___Copy__2[[#This Row],[Z (Position in AU)]]^2)</f>
        <v>1.0102626949608666</v>
      </c>
    </row>
    <row r="478" spans="1:5" x14ac:dyDescent="0.3">
      <c r="A478" s="1">
        <f t="shared" si="7"/>
        <v>477</v>
      </c>
      <c r="B478" s="1">
        <v>-0.61342232064199154</v>
      </c>
      <c r="C478" s="1">
        <v>-0.73674371119518489</v>
      </c>
      <c r="D478" s="1">
        <v>-0.31935754071699107</v>
      </c>
      <c r="E478" s="2">
        <f>SQRT(horizons_results_fin_use___Copy__2[[#This Row],[X (Position in AU)]]^2+horizons_results_fin_use___Copy__2[[#This Row],[Y (Position in AU)]]^2+horizons_results_fin_use___Copy__2[[#This Row],[Z (Position in AU)]]^2)</f>
        <v>1.0104788361268457</v>
      </c>
    </row>
    <row r="479" spans="1:5" x14ac:dyDescent="0.3">
      <c r="A479" s="1">
        <f t="shared" si="7"/>
        <v>478</v>
      </c>
      <c r="B479" s="1">
        <v>-0.59994109730718104</v>
      </c>
      <c r="C479" s="1">
        <v>-0.74627392033169415</v>
      </c>
      <c r="D479" s="1">
        <v>-0.32348811139330952</v>
      </c>
      <c r="E479" s="2">
        <f>SQRT(horizons_results_fin_use___Copy__2[[#This Row],[X (Position in AU)]]^2+horizons_results_fin_use___Copy__2[[#This Row],[Y (Position in AU)]]^2+horizons_results_fin_use___Copy__2[[#This Row],[Z (Position in AU)]]^2)</f>
        <v>1.0106921601646024</v>
      </c>
    </row>
    <row r="480" spans="1:5" x14ac:dyDescent="0.3">
      <c r="A480" s="1">
        <f t="shared" si="7"/>
        <v>479</v>
      </c>
      <c r="B480" s="1">
        <v>-0.58628959572605466</v>
      </c>
      <c r="C480" s="1">
        <v>-0.75558984257944617</v>
      </c>
      <c r="D480" s="1">
        <v>-0.32752588187654708</v>
      </c>
      <c r="E480" s="2">
        <f>SQRT(horizons_results_fin_use___Copy__2[[#This Row],[X (Position in AU)]]^2+horizons_results_fin_use___Copy__2[[#This Row],[Y (Position in AU)]]^2+horizons_results_fin_use___Copy__2[[#This Row],[Z (Position in AU)]]^2)</f>
        <v>1.0109029150046323</v>
      </c>
    </row>
    <row r="481" spans="1:5" x14ac:dyDescent="0.3">
      <c r="A481" s="1">
        <f t="shared" si="7"/>
        <v>480</v>
      </c>
      <c r="B481" s="1">
        <v>-0.57247185094577846</v>
      </c>
      <c r="C481" s="1">
        <v>-0.7646893042060926</v>
      </c>
      <c r="D481" s="1">
        <v>-0.33146993867218338</v>
      </c>
      <c r="E481" s="2">
        <f>SQRT(horizons_results_fin_use___Copy__2[[#This Row],[X (Position in AU)]]^2+horizons_results_fin_use___Copy__2[[#This Row],[Y (Position in AU)]]^2+horizons_results_fin_use___Copy__2[[#This Row],[Z (Position in AU)]]^2)</f>
        <v>1.0111113056117138</v>
      </c>
    </row>
    <row r="482" spans="1:5" x14ac:dyDescent="0.3">
      <c r="A482" s="1">
        <f t="shared" si="7"/>
        <v>481</v>
      </c>
      <c r="B482" s="1">
        <v>-0.55849184509797101</v>
      </c>
      <c r="C482" s="1">
        <v>-0.77357018051754833</v>
      </c>
      <c r="D482" s="1">
        <v>-0.33531938172790238</v>
      </c>
      <c r="E482" s="2">
        <f>SQRT(horizons_results_fin_use___Copy__2[[#This Row],[X (Position in AU)]]^2+horizons_results_fin_use___Copy__2[[#This Row],[Y (Position in AU)]]^2+horizons_results_fin_use___Copy__2[[#This Row],[Z (Position in AU)]]^2)</f>
        <v>1.0113174837751353</v>
      </c>
    </row>
    <row r="483" spans="1:5" x14ac:dyDescent="0.3">
      <c r="A483" s="1">
        <f t="shared" si="7"/>
        <v>482</v>
      </c>
      <c r="B483" s="1">
        <v>-0.54435351791030118</v>
      </c>
      <c r="C483" s="1">
        <v>-0.78223037786453731</v>
      </c>
      <c r="D483" s="1">
        <v>-0.33907331601650609</v>
      </c>
      <c r="E483" s="2">
        <f>SQRT(horizons_results_fin_use___Copy__2[[#This Row],[X (Position in AU)]]^2+horizons_results_fin_use___Copy__2[[#This Row],[Y (Position in AU)]]^2+horizons_results_fin_use___Copy__2[[#This Row],[Z (Position in AU)]]^2)</f>
        <v>1.0115215421086428</v>
      </c>
    </row>
    <row r="484" spans="1:5" x14ac:dyDescent="0.3">
      <c r="A484" s="1">
        <f t="shared" si="7"/>
        <v>483</v>
      </c>
      <c r="B484" s="1">
        <v>-0.53006078097567333</v>
      </c>
      <c r="C484" s="1">
        <v>-0.79066781964225896</v>
      </c>
      <c r="D484" s="1">
        <v>-0.34273084543350341</v>
      </c>
      <c r="E484" s="2">
        <f>SQRT(horizons_results_fin_use___Copy__2[[#This Row],[X (Position in AU)]]^2+horizons_results_fin_use___Copy__2[[#This Row],[Y (Position in AU)]]^2+horizons_results_fin_use___Copy__2[[#This Row],[Z (Position in AU)]]^2)</f>
        <v>1.0117235121108674</v>
      </c>
    </row>
    <row r="485" spans="1:5" x14ac:dyDescent="0.3">
      <c r="A485" s="1">
        <f t="shared" si="7"/>
        <v>484</v>
      </c>
      <c r="B485" s="1">
        <v>-0.51561753427717916</v>
      </c>
      <c r="C485" s="1">
        <v>-0.79888043686207111</v>
      </c>
      <c r="D485" s="1">
        <v>-0.34629106919833941</v>
      </c>
      <c r="E485" s="2">
        <f>SQRT(horizons_results_fin_use___Copy__2[[#This Row],[X (Position in AU)]]^2+horizons_results_fin_use___Copy__2[[#This Row],[Y (Position in AU)]]^2+horizons_results_fin_use___Copy__2[[#This Row],[Z (Position in AU)]]^2)</f>
        <v>1.0119233660023572</v>
      </c>
    </row>
    <row r="486" spans="1:5" x14ac:dyDescent="0.3">
      <c r="A486" s="1">
        <f t="shared" si="7"/>
        <v>485</v>
      </c>
      <c r="B486" s="1">
        <v>-0.50102768325663927</v>
      </c>
      <c r="C486" s="1">
        <v>-0.80686616346596096</v>
      </c>
      <c r="D486" s="1">
        <v>-0.34975308072417749</v>
      </c>
      <c r="E486" s="2">
        <f>SQRT(horizons_results_fin_use___Copy__2[[#This Row],[X (Position in AU)]]^2+horizons_results_fin_use___Copy__2[[#This Row],[Y (Position in AU)]]^2+horizons_results_fin_use___Copy__2[[#This Row],[Z (Position in AU)]]^2)</f>
        <v>1.0121210217221295</v>
      </c>
    </row>
    <row r="487" spans="1:5" x14ac:dyDescent="0.3">
      <c r="A487" s="1">
        <f t="shared" si="7"/>
        <v>486</v>
      </c>
      <c r="B487" s="1">
        <v>-0.48629515474177271</v>
      </c>
      <c r="C487" s="1">
        <v>-0.81462293597415791</v>
      </c>
      <c r="D487" s="1">
        <v>-0.35311596862646299</v>
      </c>
      <c r="E487" s="2">
        <f>SQRT(horizons_results_fin_use___Copy__2[[#This Row],[X (Position in AU)]]^2+horizons_results_fin_use___Copy__2[[#This Row],[Y (Position in AU)]]^2+horizons_results_fin_use___Copy__2[[#This Row],[Z (Position in AU)]]^2)</f>
        <v>1.0123163500800958</v>
      </c>
    </row>
    <row r="488" spans="1:5" x14ac:dyDescent="0.3">
      <c r="A488" s="1">
        <f t="shared" si="7"/>
        <v>487</v>
      </c>
      <c r="B488" s="1">
        <v>-0.47142391042315701</v>
      </c>
      <c r="C488" s="1">
        <v>-0.82214869649117561</v>
      </c>
      <c r="D488" s="1">
        <v>-0.35637881927881238</v>
      </c>
      <c r="E488" s="2">
        <f>SQRT(horizons_results_fin_use___Copy__2[[#This Row],[X (Position in AU)]]^2+horizons_results_fin_use___Copy__2[[#This Row],[Y (Position in AU)]]^2+horizons_results_fin_use___Copy__2[[#This Row],[Z (Position in AU)]]^2)</f>
        <v>1.0125091828182895</v>
      </c>
    </row>
    <row r="489" spans="1:5" x14ac:dyDescent="0.3">
      <c r="A489" s="1">
        <f t="shared" si="7"/>
        <v>488</v>
      </c>
      <c r="B489" s="1">
        <v>-0.4564179572218327</v>
      </c>
      <c r="C489" s="1">
        <v>-0.82944139774494718</v>
      </c>
      <c r="D489" s="1">
        <v>-0.3595407201922512</v>
      </c>
      <c r="E489" s="2">
        <f>SQRT(horizons_results_fin_use___Copy__2[[#This Row],[X (Position in AU)]]^2+horizons_results_fin_use___Copy__2[[#This Row],[Y (Position in AU)]]^2+horizons_results_fin_use___Copy__2[[#This Row],[Z (Position in AU)]]^2)</f>
        <v>1.0126993203532848</v>
      </c>
    </row>
    <row r="490" spans="1:5" x14ac:dyDescent="0.3">
      <c r="A490" s="1">
        <f t="shared" si="7"/>
        <v>489</v>
      </c>
      <c r="B490" s="1">
        <v>-0.44128135462175738</v>
      </c>
      <c r="C490" s="1">
        <v>-0.83649900879559602</v>
      </c>
      <c r="D490" s="1">
        <v>-0.36260076352688608</v>
      </c>
      <c r="E490" s="2">
        <f>SQRT(horizons_results_fin_use___Copy__2[[#This Row],[X (Position in AU)]]^2+horizons_results_fin_use___Copy__2[[#This Row],[Y (Position in AU)]]^2+horizons_results_fin_use___Copy__2[[#This Row],[Z (Position in AU)]]^2)</f>
        <v>1.0128865382475514</v>
      </c>
    </row>
    <row r="491" spans="1:5" x14ac:dyDescent="0.3">
      <c r="A491" s="1">
        <f t="shared" si="7"/>
        <v>490</v>
      </c>
      <c r="B491" s="1">
        <v>-0.42601821967301712</v>
      </c>
      <c r="C491" s="1">
        <v>-0.84331952029928081</v>
      </c>
      <c r="D491" s="1">
        <v>-0.36555804921745488</v>
      </c>
      <c r="E491" s="2">
        <f>SQRT(horizons_results_fin_use___Copy__2[[#This Row],[X (Position in AU)]]^2+horizons_results_fin_use___Copy__2[[#This Row],[Y (Position in AU)]]^2+horizons_results_fin_use___Copy__2[[#This Row],[Z (Position in AU)]]^2)</f>
        <v>1.0130705918932044</v>
      </c>
    </row>
    <row r="492" spans="1:5" x14ac:dyDescent="0.3">
      <c r="A492" s="1">
        <f t="shared" si="7"/>
        <v>491</v>
      </c>
      <c r="B492" s="1">
        <v>-0.41063273079863222</v>
      </c>
      <c r="C492" s="1">
        <v>-0.84990094865409727</v>
      </c>
      <c r="D492" s="1">
        <v>-0.36841168745019393</v>
      </c>
      <c r="E492" s="2">
        <f>SQRT(horizons_results_fin_use___Copy__2[[#This Row],[X (Position in AU)]]^2+horizons_results_fin_use___Copy__2[[#This Row],[Y (Position in AU)]]^2+horizons_results_fin_use___Copy__2[[#This Row],[Z (Position in AU)]]^2)</f>
        <v>1.0132512193805521</v>
      </c>
    </row>
    <row r="493" spans="1:5" x14ac:dyDescent="0.3">
      <c r="A493" s="1">
        <f t="shared" si="7"/>
        <v>492</v>
      </c>
      <c r="B493" s="1">
        <v>-0.39512913173947589</v>
      </c>
      <c r="C493" s="1">
        <v>-0.85624133889944687</v>
      </c>
      <c r="D493" s="1">
        <v>-0.37116080052073341</v>
      </c>
      <c r="E493" s="2">
        <f>SQRT(horizons_results_fin_use___Copy__2[[#This Row],[X (Position in AU)]]^2+horizons_results_fin_use___Copy__2[[#This Row],[Y (Position in AU)]]^2+horizons_results_fin_use___Copy__2[[#This Row],[Z (Position in AU)]]^2)</f>
        <v>1.0134281430040817</v>
      </c>
    </row>
    <row r="494" spans="1:5" x14ac:dyDescent="0.3">
      <c r="A494" s="1">
        <f t="shared" si="7"/>
        <v>493</v>
      </c>
      <c r="B494" s="1">
        <v>-0.37951173695623258</v>
      </c>
      <c r="C494" s="1">
        <v>-0.86233876684455268</v>
      </c>
      <c r="D494" s="1">
        <v>-0.3738045244095598</v>
      </c>
      <c r="E494" s="2">
        <f>SQRT(horizons_results_fin_use___Copy__2[[#This Row],[X (Position in AU)]]^2+horizons_results_fin_use___Copy__2[[#This Row],[Y (Position in AU)]]^2+horizons_results_fin_use___Copy__2[[#This Row],[Z (Position in AU)]]^2)</f>
        <v>1.0136010703228258</v>
      </c>
    </row>
    <row r="495" spans="1:5" x14ac:dyDescent="0.3">
      <c r="A495" s="1">
        <f t="shared" si="7"/>
        <v>494</v>
      </c>
      <c r="B495" s="1">
        <v>-0.3637849395431893</v>
      </c>
      <c r="C495" s="1">
        <v>-0.86819134155852484</v>
      </c>
      <c r="D495" s="1">
        <v>-0.37634201072678108</v>
      </c>
      <c r="E495" s="2">
        <f>SQRT(horizons_results_fin_use___Copy__2[[#This Row],[X (Position in AU)]]^2+horizons_results_fin_use___Copy__2[[#This Row],[Y (Position in AU)]]^2+horizons_results_fin_use___Copy__2[[#This Row],[Z (Position in AU)]]^2)</f>
        <v>1.0137696961507132</v>
      </c>
    </row>
    <row r="496" spans="1:5" x14ac:dyDescent="0.3">
      <c r="A496" s="1">
        <f t="shared" si="7"/>
        <v>495</v>
      </c>
      <c r="B496" s="1">
        <v>-0.34795322208442692</v>
      </c>
      <c r="C496" s="1">
        <v>-0.87379721003321076</v>
      </c>
      <c r="D496" s="1">
        <v>-0.37877242997754401</v>
      </c>
      <c r="E496" s="2">
        <f>SQRT(horizons_results_fin_use___Copy__2[[#This Row],[X (Position in AU)]]^2+horizons_results_fin_use___Copy__2[[#This Row],[Y (Position in AU)]]^2+horizons_results_fin_use___Copy__2[[#This Row],[Z (Position in AU)]]^2)</f>
        <v>1.0139337072668266</v>
      </c>
    </row>
    <row r="497" spans="1:5" x14ac:dyDescent="0.3">
      <c r="A497" s="1">
        <f t="shared" si="7"/>
        <v>496</v>
      </c>
      <c r="B497" s="1">
        <v>-0.33202116973040968</v>
      </c>
      <c r="C497" s="1">
        <v>-0.87915456637366218</v>
      </c>
      <c r="D497" s="1">
        <v>-0.38109497729126779</v>
      </c>
      <c r="E497" s="2">
        <f>SQRT(horizons_results_fin_use___Copy__2[[#This Row],[X (Position in AU)]]^2+horizons_results_fin_use___Copy__2[[#This Row],[Y (Position in AU)]]^2+horizons_results_fin_use___Copy__2[[#This Row],[Z (Position in AU)]]^2)</f>
        <v>1.0140927918299407</v>
      </c>
    </row>
    <row r="498" spans="1:5" x14ac:dyDescent="0.3">
      <c r="A498" s="1">
        <f t="shared" si="7"/>
        <v>497</v>
      </c>
      <c r="B498" s="1">
        <v>-0.31599348301538982</v>
      </c>
      <c r="C498" s="1">
        <v>-0.88426166790051175</v>
      </c>
      <c r="D498" s="1">
        <v>-0.38330888164348309</v>
      </c>
      <c r="E498" s="2">
        <f>SQRT(horizons_results_fin_use___Copy__2[[#This Row],[X (Position in AU)]]^2+horizons_results_fin_use___Copy__2[[#This Row],[Y (Position in AU)]]^2+horizons_results_fin_use___Copy__2[[#This Row],[Z (Position in AU)]]^2)</f>
        <v>1.0142466550958746</v>
      </c>
    </row>
    <row r="499" spans="1:5" x14ac:dyDescent="0.3">
      <c r="A499" s="1">
        <f t="shared" si="7"/>
        <v>498</v>
      </c>
      <c r="B499" s="1">
        <v>-0.29987498588402839</v>
      </c>
      <c r="C499" s="1">
        <v>-0.88911685948490637</v>
      </c>
      <c r="D499" s="1">
        <v>-0.38541341890717629</v>
      </c>
      <c r="E499" s="2">
        <f>SQRT(horizons_results_fin_use___Copy__2[[#This Row],[X (Position in AU)]]^2+horizons_results_fin_use___Copy__2[[#This Row],[Y (Position in AU)]]^2+horizons_results_fin_use___Copy__2[[#This Row],[Z (Position in AU)]]^2)</f>
        <v>1.0143950416149359</v>
      </c>
    </row>
    <row r="500" spans="1:5" x14ac:dyDescent="0.3">
      <c r="A500" s="1">
        <f t="shared" si="7"/>
        <v>499</v>
      </c>
      <c r="B500" s="1">
        <v>-0.28367062304590468</v>
      </c>
      <c r="C500" s="1">
        <v>-0.89371860484679866</v>
      </c>
      <c r="D500" s="1">
        <v>-0.38740792765447651</v>
      </c>
      <c r="E500" s="2">
        <f>SQRT(horizons_results_fin_use___Copy__2[[#This Row],[X (Position in AU)]]^2+horizons_results_fin_use___Copy__2[[#This Row],[Y (Position in AU)]]^2+horizons_results_fin_use___Copy__2[[#This Row],[Z (Position in AU)]]^2)</f>
        <v>1.0145377614648436</v>
      </c>
    </row>
    <row r="501" spans="1:5" x14ac:dyDescent="0.3">
      <c r="A501" s="1">
        <f t="shared" si="7"/>
        <v>500</v>
      </c>
      <c r="B501" s="1">
        <v>-0.26738544164997569</v>
      </c>
      <c r="C501" s="1">
        <v>-0.89806551984323746</v>
      </c>
      <c r="D501" s="1">
        <v>-0.38929182481067548</v>
      </c>
      <c r="E501" s="2">
        <f>SQRT(horizons_results_fin_use___Copy__2[[#This Row],[X (Position in AU)]]^2+horizons_results_fin_use___Copy__2[[#This Row],[Y (Position in AU)]]^2+horizons_results_fin_use___Copy__2[[#This Row],[Z (Position in AU)]]^2)</f>
        <v>1.0146747149712969</v>
      </c>
    </row>
    <row r="502" spans="1:5" x14ac:dyDescent="0.3">
      <c r="A502" s="1">
        <f t="shared" si="7"/>
        <v>501</v>
      </c>
      <c r="B502" s="1">
        <v>-0.25102455632157378</v>
      </c>
      <c r="C502" s="1">
        <v>-0.90215639972027195</v>
      </c>
      <c r="D502" s="1">
        <v>-0.39106461700882078</v>
      </c>
      <c r="E502" s="2">
        <f>SQRT(horizons_results_fin_use___Copy__2[[#This Row],[X (Position in AU)]]^2+horizons_results_fin_use___Copy__2[[#This Row],[Y (Position in AU)]]^2+horizons_results_fin_use___Copy__2[[#This Row],[Z (Position in AU)]]^2)</f>
        <v>1.0148059085898848</v>
      </c>
    </row>
    <row r="503" spans="1:5" x14ac:dyDescent="0.3">
      <c r="A503" s="1">
        <f t="shared" si="7"/>
        <v>502</v>
      </c>
      <c r="B503" s="1">
        <v>-0.23459310269640901</v>
      </c>
      <c r="C503" s="1">
        <v>-0.90599023230137032</v>
      </c>
      <c r="D503" s="1">
        <v>-0.39272590394158852</v>
      </c>
      <c r="E503" s="2">
        <f>SQRT(horizons_results_fin_use___Copy__2[[#This Row],[X (Position in AU)]]^2+horizons_results_fin_use___Copy__2[[#This Row],[Y (Position in AU)]]^2+horizons_results_fin_use___Copy__2[[#This Row],[Z (Position in AU)]]^2)</f>
        <v>1.0149314560525535</v>
      </c>
    </row>
    <row r="504" spans="1:5" x14ac:dyDescent="0.3">
      <c r="A504" s="1">
        <f t="shared" si="7"/>
        <v>503</v>
      </c>
      <c r="B504" s="1">
        <v>-0.21809618938078379</v>
      </c>
      <c r="C504" s="1">
        <v>-0.90956619309342934</v>
      </c>
      <c r="D504" s="1">
        <v>-0.39427537239840871</v>
      </c>
      <c r="E504" s="2">
        <f>SQRT(horizons_results_fin_use___Copy__2[[#This Row],[X (Position in AU)]]^2+horizons_results_fin_use___Copy__2[[#This Row],[Y (Position in AU)]]^2+horizons_results_fin_use___Copy__2[[#This Row],[Z (Position in AU)]]^2)</f>
        <v>1.0150515635773369</v>
      </c>
    </row>
    <row r="505" spans="1:5" x14ac:dyDescent="0.3">
      <c r="A505" s="1">
        <f t="shared" si="7"/>
        <v>504</v>
      </c>
      <c r="B505" s="1">
        <v>-0.2015388586407611</v>
      </c>
      <c r="C505" s="1">
        <v>-0.91288362435946735</v>
      </c>
      <c r="D505" s="1">
        <v>-0.39571278278894639</v>
      </c>
      <c r="E505" s="2">
        <f>SQRT(horizons_results_fin_use___Copy__2[[#This Row],[X (Position in AU)]]^2+horizons_results_fin_use___Copy__2[[#This Row],[Y (Position in AU)]]^2+horizons_results_fin_use___Copy__2[[#This Row],[Z (Position in AU)]]^2)</f>
        <v>1.0151665034015207</v>
      </c>
    </row>
    <row r="506" spans="1:5" x14ac:dyDescent="0.3">
      <c r="A506" s="1">
        <f t="shared" si="7"/>
        <v>505</v>
      </c>
      <c r="B506" s="1">
        <v>-0.18492606201006051</v>
      </c>
      <c r="C506" s="1">
        <v>-0.91594200478710952</v>
      </c>
      <c r="D506" s="1">
        <v>-0.39703795198042108</v>
      </c>
      <c r="E506" s="2">
        <f>SQRT(horizons_results_fin_use___Copy__2[[#This Row],[X (Position in AU)]]^2+horizons_results_fin_use___Copy__2[[#This Row],[Y (Position in AU)]]^2+horizons_results_fin_use___Copy__2[[#This Row],[Z (Position in AU)]]^2)</f>
        <v>1.015276582935303</v>
      </c>
    </row>
    <row r="507" spans="1:5" x14ac:dyDescent="0.3">
      <c r="A507" s="1">
        <f t="shared" si="7"/>
        <v>506</v>
      </c>
      <c r="B507" s="1">
        <v>-0.16826265135687091</v>
      </c>
      <c r="C507" s="1">
        <v>-0.91874091731507423</v>
      </c>
      <c r="D507" s="1">
        <v>-0.39825073633526931</v>
      </c>
      <c r="E507" s="2">
        <f>SQRT(horizons_results_fin_use___Copy__2[[#This Row],[X (Position in AU)]]^2+horizons_results_fin_use___Copy__2[[#This Row],[Y (Position in AU)]]^2+horizons_results_fin_use___Copy__2[[#This Row],[Z (Position in AU)]]^2)</f>
        <v>1.0153821162410592</v>
      </c>
    </row>
    <row r="508" spans="1:5" x14ac:dyDescent="0.3">
      <c r="A508" s="1">
        <f t="shared" si="7"/>
        <v>507</v>
      </c>
      <c r="B508" s="1">
        <v>-0.15155338193929441</v>
      </c>
      <c r="C508" s="1">
        <v>-0.92128002056835923</v>
      </c>
      <c r="D508" s="1">
        <v>-0.39935101746719809</v>
      </c>
      <c r="E508" s="2">
        <f>SQRT(horizons_results_fin_use___Copy__2[[#This Row],[X (Position in AU)]]^2+horizons_results_fin_use___Copy__2[[#This Row],[Y (Position in AU)]]^2+horizons_results_fin_use___Copy__2[[#This Row],[Z (Position in AU)]]^2)</f>
        <v>1.0154834016505441</v>
      </c>
    </row>
    <row r="509" spans="1:5" x14ac:dyDescent="0.3">
      <c r="A509" s="1">
        <f t="shared" si="7"/>
        <v>508</v>
      </c>
      <c r="B509" s="1">
        <v>-0.13480292276137329</v>
      </c>
      <c r="C509" s="1">
        <v>-0.92355902629223574</v>
      </c>
      <c r="D509" s="1">
        <v>-0.40033869158790558</v>
      </c>
      <c r="E509" s="2">
        <f>SQRT(horizons_results_fin_use___Copy__2[[#This Row],[X (Position in AU)]]^2+horizons_results_fin_use___Copy__2[[#This Row],[Y (Position in AU)]]^2+horizons_results_fin_use___Copy__2[[#This Row],[Z (Position in AU)]]^2)</f>
        <v>1.0155807063021567</v>
      </c>
    </row>
    <row r="510" spans="1:5" x14ac:dyDescent="0.3">
      <c r="A510" s="1">
        <f t="shared" si="7"/>
        <v>509</v>
      </c>
      <c r="B510" s="1">
        <v>-0.11801587035138041</v>
      </c>
      <c r="C510" s="1">
        <v>-0.92557768284533759</v>
      </c>
      <c r="D510" s="1">
        <v>-0.40121366219160448</v>
      </c>
      <c r="E510" s="2">
        <f>SQRT(horizons_results_fin_use___Copy__2[[#This Row],[X (Position in AU)]]^2+horizons_results_fin_use___Copy__2[[#This Row],[Y (Position in AU)]]^2+horizons_results_fin_use___Copy__2[[#This Row],[Z (Position in AU)]]^2)</f>
        <v>1.0156742565238803</v>
      </c>
    </row>
    <row r="511" spans="1:5" x14ac:dyDescent="0.3">
      <c r="A511" s="1">
        <f t="shared" si="7"/>
        <v>510</v>
      </c>
      <c r="B511" s="1">
        <v>-0.10119676358348741</v>
      </c>
      <c r="C511" s="1">
        <v>-0.92733576373514792</v>
      </c>
      <c r="D511" s="1">
        <v>-0.40197583538682108</v>
      </c>
      <c r="E511" s="2">
        <f>SQRT(horizons_results_fin_use___Copy__2[[#This Row],[X (Position in AU)]]^2+horizons_results_fin_use___Copy__2[[#This Row],[Y (Position in AU)]]^2+horizons_results_fin_use___Copy__2[[#This Row],[Z (Position in AU)]]^2)</f>
        <v>1.0157642324363243</v>
      </c>
    </row>
    <row r="512" spans="1:5" x14ac:dyDescent="0.3">
      <c r="A512" s="1">
        <f t="shared" si="7"/>
        <v>511</v>
      </c>
      <c r="B512" s="1">
        <v>-8.4350098419330236E-2</v>
      </c>
      <c r="C512" s="1">
        <v>-0.92883306006166899</v>
      </c>
      <c r="D512" s="1">
        <v>-0.40262511721702571</v>
      </c>
      <c r="E512" s="2">
        <f>SQRT(horizons_results_fin_use___Copy__2[[#This Row],[X (Position in AU)]]^2+horizons_results_fin_use___Copy__2[[#This Row],[Y (Position in AU)]]^2+horizons_results_fin_use___Copy__2[[#This Row],[Z (Position in AU)]]^2)</f>
        <v>1.0158507654084326</v>
      </c>
    </row>
    <row r="513" spans="1:5" x14ac:dyDescent="0.3">
      <c r="A513" s="1">
        <f t="shared" si="7"/>
        <v>512</v>
      </c>
      <c r="B513" s="1">
        <v>-6.7480342131308643E-2</v>
      </c>
      <c r="C513" s="1">
        <v>-0.93006937605357876</v>
      </c>
      <c r="D513" s="1">
        <v>-0.40316141252336157</v>
      </c>
      <c r="E513" s="2">
        <f>SQRT(horizons_results_fin_use___Copy__2[[#This Row],[X (Position in AU)]]^2+horizons_results_fin_use___Copy__2[[#This Row],[Y (Position in AU)]]^2+horizons_results_fin_use___Copy__2[[#This Row],[Z (Position in AU)]]^2)</f>
        <v>1.0159339375149763</v>
      </c>
    </row>
    <row r="514" spans="1:5" x14ac:dyDescent="0.3">
      <c r="A514" s="1">
        <f t="shared" si="7"/>
        <v>513</v>
      </c>
      <c r="B514" s="1">
        <v>-5.0591946762678773E-2</v>
      </c>
      <c r="C514" s="1">
        <v>-0.9310445272243828</v>
      </c>
      <c r="D514" s="1">
        <v>-0.40358462509075999</v>
      </c>
      <c r="E514" s="2">
        <f>SQRT(horizons_results_fin_use___Copy__2[[#This Row],[X (Position in AU)]]^2+horizons_results_fin_use___Copy__2[[#This Row],[Y (Position in AU)]]^2+horizons_results_fin_use___Copy__2[[#This Row],[Z (Position in AU)]]^2)</f>
        <v>1.0160137825646667</v>
      </c>
    </row>
    <row r="515" spans="1:5" x14ac:dyDescent="0.3">
      <c r="A515" s="1">
        <f t="shared" si="7"/>
        <v>514</v>
      </c>
      <c r="B515" s="1">
        <v>-3.3689361518908723E-2</v>
      </c>
      <c r="C515" s="1">
        <v>-0.93175834083992193</v>
      </c>
      <c r="D515" s="1">
        <v>-0.40389465889701009</v>
      </c>
      <c r="E515" s="2">
        <f>SQRT(horizons_results_fin_use___Copy__2[[#This Row],[X (Position in AU)]]^2+horizons_results_fin_use___Copy__2[[#This Row],[Y (Position in AU)]]^2+horizons_results_fin_use___Copy__2[[#This Row],[Z (Position in AU)]]^2)</f>
        <v>1.0160902884536629</v>
      </c>
    </row>
    <row r="516" spans="1:5" x14ac:dyDescent="0.3">
      <c r="A516" s="1">
        <f t="shared" ref="A516:A579" si="8">A515+1</f>
        <v>515</v>
      </c>
      <c r="B516" s="1">
        <v>-1.6777043706159241E-2</v>
      </c>
      <c r="C516" s="1">
        <v>-0.93221065834896866</v>
      </c>
      <c r="D516" s="1">
        <v>-0.40409142025810207</v>
      </c>
      <c r="E516" s="2">
        <f>SQRT(horizons_results_fin_use___Copy__2[[#This Row],[X (Position in AU)]]^2+horizons_results_fin_use___Copy__2[[#This Row],[Y (Position in AU)]]^2+horizons_results_fin_use___Copy__2[[#This Row],[Z (Position in AU)]]^2)</f>
        <v>1.0161634005715547</v>
      </c>
    </row>
    <row r="517" spans="1:5" x14ac:dyDescent="0.3">
      <c r="A517" s="1">
        <f t="shared" si="8"/>
        <v>516</v>
      </c>
      <c r="B517" s="1">
        <v>1.4053211459248729E-4</v>
      </c>
      <c r="C517" s="1">
        <v>-0.93240133927393898</v>
      </c>
      <c r="D517" s="1">
        <v>-0.40417482058844989</v>
      </c>
      <c r="E517" s="2">
        <f>SQRT(horizons_results_fin_use___Copy__2[[#This Row],[X (Position in AU)]]^2+horizons_results_fin_use___Copy__2[[#This Row],[Y (Position in AU)]]^2+horizons_results_fin_use___Copy__2[[#This Row],[Z (Position in AU)]]^2)</f>
        <v>1.016233025849296</v>
      </c>
    </row>
    <row r="518" spans="1:5" x14ac:dyDescent="0.3">
      <c r="A518" s="1">
        <f t="shared" si="8"/>
        <v>517</v>
      </c>
      <c r="B518" s="1">
        <v>1.7058866867759519E-2</v>
      </c>
      <c r="C518" s="1">
        <v>-0.9323302659158218</v>
      </c>
      <c r="D518" s="1">
        <v>-0.40414477943865251</v>
      </c>
      <c r="E518" s="2">
        <f>SQRT(horizons_results_fin_use___Copy__2[[#This Row],[X (Position in AU)]]^2+horizons_results_fin_use___Copy__2[[#This Row],[Y (Position in AU)]]^2+horizons_results_fin_use___Copy__2[[#This Row],[Z (Position in AU)]]^2)</f>
        <v>1.0162990369123628</v>
      </c>
    </row>
    <row r="519" spans="1:5" x14ac:dyDescent="0.3">
      <c r="A519" s="1">
        <f t="shared" si="8"/>
        <v>518</v>
      </c>
      <c r="B519" s="1">
        <v>3.39734313701998E-2</v>
      </c>
      <c r="C519" s="1">
        <v>-0.93199734820010027</v>
      </c>
      <c r="D519" s="1">
        <v>-0.40400122748508838</v>
      </c>
      <c r="E519" s="2">
        <f>SQRT(horizons_results_fin_use___Copy__2[[#This Row],[X (Position in AU)]]^2+horizons_results_fin_use___Copy__2[[#This Row],[Y (Position in AU)]]^2+horizons_results_fin_use___Copy__2[[#This Row],[Z (Position in AU)]]^2)</f>
        <v>1.0163612757777338</v>
      </c>
    </row>
    <row r="520" spans="1:5" x14ac:dyDescent="0.3">
      <c r="A520" s="1">
        <f t="shared" si="8"/>
        <v>519</v>
      </c>
      <c r="B520" s="1">
        <v>5.0879661819946242E-2</v>
      </c>
      <c r="C520" s="1">
        <v>-0.93140252812910351</v>
      </c>
      <c r="D520" s="1">
        <v>-0.40374410924321252</v>
      </c>
      <c r="E520" s="2">
        <f>SQRT(horizons_results_fin_use___Copy__2[[#This Row],[X (Position in AU)]]^2+horizons_results_fin_use___Copy__2[[#This Row],[Y (Position in AU)]]^2+horizons_results_fin_use___Copy__2[[#This Row],[Z (Position in AU)]]^2)</f>
        <v>1.0164195566501033</v>
      </c>
    </row>
    <row r="521" spans="1:5" x14ac:dyDescent="0.3">
      <c r="A521" s="1">
        <f t="shared" si="8"/>
        <v>520</v>
      </c>
      <c r="B521" s="1">
        <v>6.7772955497573686E-2</v>
      </c>
      <c r="C521" s="1">
        <v>-0.93054578361257545</v>
      </c>
      <c r="D521" s="1">
        <v>-0.40337338545369611</v>
      </c>
      <c r="E521" s="2">
        <f>SQRT(horizons_results_fin_use___Copy__2[[#This Row],[X (Position in AU)]]^2+horizons_results_fin_use___Copy__2[[#This Row],[Y (Position in AU)]]^2+horizons_results_fin_use___Copy__2[[#This Row],[Z (Position in AU)]]^2)</f>
        <v>1.0164736676315793</v>
      </c>
    </row>
    <row r="522" spans="1:5" x14ac:dyDescent="0.3">
      <c r="A522" s="1">
        <f t="shared" si="8"/>
        <v>521</v>
      </c>
      <c r="B522" s="1">
        <v>8.4648665677418009E-2</v>
      </c>
      <c r="C522" s="1">
        <v>-0.92942713190076232</v>
      </c>
      <c r="D522" s="1">
        <v>-0.40288903533072973</v>
      </c>
      <c r="E522" s="2">
        <f>SQRT(horizons_results_fin_use___Copy__2[[#This Row],[X (Position in AU)]]^2+horizons_results_fin_use___Copy__2[[#This Row],[Y (Position in AU)]]^2+horizons_results_fin_use___Copy__2[[#This Row],[Z (Position in AU)]]^2)</f>
        <v>1.0165233715483231</v>
      </c>
    </row>
    <row r="523" spans="1:5" x14ac:dyDescent="0.3">
      <c r="A523" s="1">
        <f t="shared" si="8"/>
        <v>522</v>
      </c>
      <c r="B523" s="1">
        <v>0.1015020948387735</v>
      </c>
      <c r="C523" s="1">
        <v>-0.92804663341708127</v>
      </c>
      <c r="D523" s="1">
        <v>-0.40229105914574509</v>
      </c>
      <c r="E523" s="2">
        <f>SQRT(horizons_results_fin_use___Copy__2[[#This Row],[X (Position in AU)]]^2+horizons_results_fin_use___Copy__2[[#This Row],[Y (Position in AU)]]^2+horizons_results_fin_use___Copy__2[[#This Row],[Z (Position in AU)]]^2)</f>
        <v>1.0165684066121883</v>
      </c>
    </row>
    <row r="524" spans="1:5" x14ac:dyDescent="0.3">
      <c r="A524" s="1">
        <f t="shared" si="8"/>
        <v>523</v>
      </c>
      <c r="B524" s="1">
        <v>0.11832848569881679</v>
      </c>
      <c r="C524" s="1">
        <v>-0.92640439743574099</v>
      </c>
      <c r="D524" s="1">
        <v>-0.40157948191615978</v>
      </c>
      <c r="E524" s="2">
        <f>SQRT(horizons_results_fin_use___Copy__2[[#This Row],[X (Position in AU)]]^2+horizons_results_fin_use___Copy__2[[#This Row],[Y (Position in AU)]]^2+horizons_results_fin_use___Copy__2[[#This Row],[Z (Position in AU)]]^2)</f>
        <v>1.016608488264831</v>
      </c>
    </row>
    <row r="525" spans="1:5" x14ac:dyDescent="0.3">
      <c r="A525" s="1">
        <f t="shared" si="8"/>
        <v>524</v>
      </c>
      <c r="B525" s="1">
        <v>0.13512301051990391</v>
      </c>
      <c r="C525" s="1">
        <v>-0.92450059164620868</v>
      </c>
      <c r="D525" s="1">
        <v>-0.40075435920036367</v>
      </c>
      <c r="E525" s="2">
        <f>SQRT(horizons_results_fin_use___Copy__2[[#This Row],[X (Position in AU)]]^2+horizons_results_fin_use___Copy__2[[#This Row],[Y (Position in AU)]]^2+horizons_results_fin_use___Copy__2[[#This Row],[Z (Position in AU)]]^2)</f>
        <v>1.0166433142180427</v>
      </c>
    </row>
    <row r="526" spans="1:5" x14ac:dyDescent="0.3">
      <c r="A526" s="1">
        <f t="shared" si="8"/>
        <v>525</v>
      </c>
      <c r="B526" s="1">
        <v>0.1518807607076475</v>
      </c>
      <c r="C526" s="1">
        <v>-0.92233545787710902</v>
      </c>
      <c r="D526" s="1">
        <v>-0.39981578599733181</v>
      </c>
      <c r="E526" s="2">
        <f>SQRT(horizons_results_fin_use___Copy__2[[#This Row],[X (Position in AU)]]^2+horizons_results_fin_use___Copy__2[[#This Row],[Y (Position in AU)]]^2+horizons_results_fin_use___Copy__2[[#This Row],[Z (Position in AU)]]^2)</f>
        <v>1.0166725751505123</v>
      </c>
    </row>
    <row r="527" spans="1:5" x14ac:dyDescent="0.3">
      <c r="A527" s="1">
        <f t="shared" si="8"/>
        <v>526</v>
      </c>
      <c r="B527" s="1">
        <v>0.1685967407799854</v>
      </c>
      <c r="C527" s="1">
        <v>-0.91990933555533128</v>
      </c>
      <c r="D527" s="1">
        <v>-0.39876390923684368</v>
      </c>
      <c r="E527" s="2">
        <f>SQRT(horizons_results_fin_use___Copy__2[[#This Row],[X (Position in AU)]]^2+horizons_results_fin_use___Copy__2[[#This Row],[Y (Position in AU)]]^2+horizons_results_fin_use___Copy__2[[#This Row],[Z (Position in AU)]]^2)</f>
        <v>1.0166959732158549</v>
      </c>
    </row>
    <row r="528" spans="1:5" x14ac:dyDescent="0.3">
      <c r="A528" s="1">
        <f t="shared" si="8"/>
        <v>527</v>
      </c>
      <c r="B528" s="1">
        <v>0.1852658725695347</v>
      </c>
      <c r="C528" s="1">
        <v>-0.91722269222390929</v>
      </c>
      <c r="D528" s="1">
        <v>-0.39759894306571653</v>
      </c>
      <c r="E528" s="2">
        <f>SQRT(horizons_results_fin_use___Copy__2[[#This Row],[X (Position in AU)]]^2+horizons_results_fin_use___Copy__2[[#This Row],[Y (Position in AU)]]^2+horizons_results_fin_use___Copy__2[[#This Row],[Z (Position in AU)]]^2)</f>
        <v>1.0167132487562076</v>
      </c>
    </row>
    <row r="529" spans="1:5" x14ac:dyDescent="0.3">
      <c r="A529" s="1">
        <f t="shared" si="8"/>
        <v>528</v>
      </c>
      <c r="B529" s="1">
        <v>0.2018830154223942</v>
      </c>
      <c r="C529" s="1">
        <v>-0.91427615659819161</v>
      </c>
      <c r="D529" s="1">
        <v>-0.39632118419096518</v>
      </c>
      <c r="E529" s="2">
        <f>SQRT(horizons_results_fin_use___Copy__2[[#This Row],[X (Position in AU)]]^2+horizons_results_fin_use___Copy__2[[#This Row],[Y (Position in AU)]]^2+horizons_results_fin_use___Copy__2[[#This Row],[Z (Position in AU)]]^2)</f>
        <v>1.0167242121040143</v>
      </c>
    </row>
    <row r="530" spans="1:5" x14ac:dyDescent="0.3">
      <c r="A530" s="1">
        <f t="shared" si="8"/>
        <v>529</v>
      </c>
      <c r="B530" s="1">
        <v>0.21844300451858531</v>
      </c>
      <c r="C530" s="1">
        <v>-0.91107054565824319</v>
      </c>
      <c r="D530" s="1">
        <v>-0.39493102279850789</v>
      </c>
      <c r="E530" s="2">
        <f>SQRT(horizons_results_fin_use___Copy__2[[#This Row],[X (Position in AU)]]^2+horizons_results_fin_use___Copy__2[[#This Row],[Y (Position in AU)]]^2+horizons_results_fin_use___Copy__2[[#This Row],[Z (Position in AU)]]^2)</f>
        <v>1.0167287731532884</v>
      </c>
    </row>
    <row r="531" spans="1:5" x14ac:dyDescent="0.3">
      <c r="A531" s="1">
        <f t="shared" si="8"/>
        <v>530</v>
      </c>
      <c r="B531" s="1">
        <v>0.2349407024808805</v>
      </c>
      <c r="C531" s="1">
        <v>-0.90760687610037905</v>
      </c>
      <c r="D531" s="1">
        <v>-0.39342894450414279</v>
      </c>
      <c r="E531" s="2">
        <f>SQRT(horizons_results_fin_use___Copy__2[[#This Row],[X (Position in AU)]]^2+horizons_results_fin_use___Copy__2[[#This Row],[Y (Position in AU)]]^2+horizons_results_fin_use___Copy__2[[#This Row],[Z (Position in AU)]]^2)</f>
        <v>1.0167269592179318</v>
      </c>
    </row>
    <row r="532" spans="1:5" x14ac:dyDescent="0.3">
      <c r="A532" s="1">
        <f t="shared" si="8"/>
        <v>531</v>
      </c>
      <c r="B532" s="1">
        <v>0.25137105265367649</v>
      </c>
      <c r="C532" s="1">
        <v>-0.90388635440842768</v>
      </c>
      <c r="D532" s="1">
        <v>-0.39181552131480918</v>
      </c>
      <c r="E532" s="2">
        <f>SQRT(horizons_results_fin_use___Copy__2[[#This Row],[X (Position in AU)]]^2+horizons_results_fin_use___Copy__2[[#This Row],[Y (Position in AU)]]^2+horizons_results_fin_use___Copy__2[[#This Row],[Z (Position in AU)]]^2)</f>
        <v>1.0167189142241679</v>
      </c>
    </row>
    <row r="533" spans="1:5" x14ac:dyDescent="0.3">
      <c r="A533" s="1">
        <f t="shared" si="8"/>
        <v>532</v>
      </c>
      <c r="B533" s="1">
        <v>0.26772912068823862</v>
      </c>
      <c r="C533" s="1">
        <v>-0.89991034758195232</v>
      </c>
      <c r="D533" s="1">
        <v>-0.39009139366182399</v>
      </c>
      <c r="E533" s="2">
        <f>SQRT(horizons_results_fin_use___Copy__2[[#This Row],[X (Position in AU)]]^2+horizons_results_fin_use___Copy__2[[#This Row],[Y (Position in AU)]]^2+horizons_results_fin_use___Copy__2[[#This Row],[Z (Position in AU)]]^2)</f>
        <v>1.0167048790866462</v>
      </c>
    </row>
    <row r="534" spans="1:5" x14ac:dyDescent="0.3">
      <c r="A534" s="1">
        <f t="shared" si="8"/>
        <v>533</v>
      </c>
      <c r="B534" s="1">
        <v>0.28401011603470799</v>
      </c>
      <c r="C534" s="1">
        <v>-0.89568034340922187</v>
      </c>
      <c r="D534" s="1">
        <v>-0.38825724866579447</v>
      </c>
      <c r="E534" s="2">
        <f>SQRT(horizons_results_fin_use___Copy__2[[#This Row],[X (Position in AU)]]^2+horizons_results_fin_use___Copy__2[[#This Row],[Y (Position in AU)]]^2+horizons_results_fin_use___Copy__2[[#This Row],[Z (Position in AU)]]^2)</f>
        <v>1.01668516007722</v>
      </c>
    </row>
    <row r="535" spans="1:5" x14ac:dyDescent="0.3">
      <c r="A535" s="1">
        <f t="shared" si="8"/>
        <v>534</v>
      </c>
      <c r="B535" s="1">
        <v>0.30020939312238232</v>
      </c>
      <c r="C535" s="1">
        <v>-0.8911979109789312</v>
      </c>
      <c r="D535" s="1">
        <v>-0.3863138000819869</v>
      </c>
      <c r="E535" s="2">
        <f>SQRT(horizons_results_fin_use___Copy__2[[#This Row],[X (Position in AU)]]^2+horizons_results_fin_use___Copy__2[[#This Row],[Y (Position in AU)]]^2+horizons_results_fin_use___Copy__2[[#This Row],[Z (Position in AU)]]^2)</f>
        <v>1.0166600948133577</v>
      </c>
    </row>
    <row r="536" spans="1:5" x14ac:dyDescent="0.3">
      <c r="A536" s="1">
        <f t="shared" si="8"/>
        <v>535</v>
      </c>
      <c r="B536" s="1">
        <v>0.31632243817654482</v>
      </c>
      <c r="C536" s="1">
        <v>-0.88646466894394804</v>
      </c>
      <c r="D536" s="1">
        <v>-0.38426177328607569</v>
      </c>
      <c r="E536" s="2">
        <f>SQRT(horizons_results_fin_use___Copy__2[[#This Row],[X (Position in AU)]]^2+horizons_results_fin_use___Copy__2[[#This Row],[Y (Position in AU)]]^2+horizons_results_fin_use___Copy__2[[#This Row],[Z (Position in AU)]]^2)</f>
        <v>1.0166300234543622</v>
      </c>
    </row>
    <row r="537" spans="1:5" x14ac:dyDescent="0.3">
      <c r="A537" s="1">
        <f t="shared" si="8"/>
        <v>536</v>
      </c>
      <c r="B537" s="1">
        <v>0.33234484931400388</v>
      </c>
      <c r="C537" s="1">
        <v>-0.88148226410238795</v>
      </c>
      <c r="D537" s="1">
        <v>-0.38210189601726863</v>
      </c>
      <c r="E537" s="2">
        <f>SQRT(horizons_results_fin_use___Copy__2[[#This Row],[X (Position in AU)]]^2+horizons_results_fin_use___Copy__2[[#This Row],[Y (Position in AU)]]^2+horizons_results_fin_use___Copy__2[[#This Row],[Z (Position in AU)]]^2)</f>
        <v>1.0165952683996771</v>
      </c>
    </row>
    <row r="538" spans="1:5" x14ac:dyDescent="0.3">
      <c r="A538" s="1">
        <f t="shared" si="8"/>
        <v>537</v>
      </c>
      <c r="B538" s="1">
        <v>0.34827231584422341</v>
      </c>
      <c r="C538" s="1">
        <v>-0.87625235912814259</v>
      </c>
      <c r="D538" s="1">
        <v>-0.37983489383152269</v>
      </c>
      <c r="E538" s="2">
        <f>SQRT(horizons_results_fin_use___Copy__2[[#This Row],[X (Position in AU)]]^2+horizons_results_fin_use___Copy__2[[#This Row],[Y (Position in AU)]]^2+horizons_results_fin_use___Copy__2[[#This Row],[Z (Position in AU)]]^2)</f>
        <v>1.016556122126633</v>
      </c>
    </row>
    <row r="539" spans="1:5" x14ac:dyDescent="0.3">
      <c r="A539" s="1">
        <f t="shared" si="8"/>
        <v>538</v>
      </c>
      <c r="B539" s="1">
        <v>0.36410059990066418</v>
      </c>
      <c r="C539" s="1">
        <v>-0.87077662672858125</v>
      </c>
      <c r="D539" s="1">
        <v>-0.37746148864318052</v>
      </c>
      <c r="E539" s="2">
        <f>SQRT(horizons_results_fin_use___Copy__2[[#This Row],[X (Position in AU)]]^2+horizons_results_fin_use___Copy__2[[#This Row],[Y (Position in AU)]]^2+horizons_results_fin_use___Copy__2[[#This Row],[Z (Position in AU)]]^2)</f>
        <v>1.0165128409978677</v>
      </c>
    </row>
    <row r="540" spans="1:5" x14ac:dyDescent="0.3">
      <c r="A540" s="1">
        <f t="shared" si="8"/>
        <v>539</v>
      </c>
      <c r="B540" s="1">
        <v>0.37982552124640551</v>
      </c>
      <c r="C540" s="1">
        <v>-0.86505674758750106</v>
      </c>
      <c r="D540" s="1">
        <v>-0.37498239894907681</v>
      </c>
      <c r="E540" s="2">
        <f>SQRT(horizons_results_fin_use___Copy__2[[#This Row],[X (Position in AU)]]^2+horizons_results_fin_use___Copy__2[[#This Row],[Y (Position in AU)]]^2+horizons_results_fin_use___Copy__2[[#This Row],[Z (Position in AU)]]^2)</f>
        <v>1.016465642635487</v>
      </c>
    </row>
    <row r="541" spans="1:5" x14ac:dyDescent="0.3">
      <c r="A541" s="1">
        <f t="shared" si="8"/>
        <v>540</v>
      </c>
      <c r="B541" s="1">
        <v>0.39544294483453718</v>
      </c>
      <c r="C541" s="1">
        <v>-0.85909441025368471</v>
      </c>
      <c r="D541" s="1">
        <v>-0.37239834083346118</v>
      </c>
      <c r="E541" s="2">
        <f>SQRT(horizons_results_fin_use___Copy__2[[#This Row],[X (Position in AU)]]^2+horizons_results_fin_use___Copy__2[[#This Row],[Y (Position in AU)]]^2+horizons_results_fin_use___Copy__2[[#This Row],[Z (Position in AU)]]^2)</f>
        <v>1.0164147050313921</v>
      </c>
    </row>
    <row r="542" spans="1:5" x14ac:dyDescent="0.3">
      <c r="A542" s="1">
        <f t="shared" si="8"/>
        <v>541</v>
      </c>
      <c r="B542" s="1">
        <v>0.41094877029664989</v>
      </c>
      <c r="C542" s="1">
        <v>-0.85289131200995971</v>
      </c>
      <c r="D542" s="1">
        <v>-0.36971002932722152</v>
      </c>
      <c r="E542" s="2">
        <f>SQRT(horizons_results_fin_use___Copy__2[[#This Row],[X (Position in AU)]]^2+horizons_results_fin_use___Copy__2[[#This Row],[Y (Position in AU)]]^2+horizons_results_fin_use___Copy__2[[#This Row],[Z (Position in AU)]]^2)</f>
        <v>1.0163601663266493</v>
      </c>
    </row>
    <row r="543" spans="1:5" x14ac:dyDescent="0.3">
      <c r="A543" s="1">
        <f t="shared" si="8"/>
        <v>542</v>
      </c>
      <c r="B543" s="1">
        <v>0.42633892263696349</v>
      </c>
      <c r="C543" s="1">
        <v>-0.8464491604003419</v>
      </c>
      <c r="D543" s="1">
        <v>-0.36691818001305271</v>
      </c>
      <c r="E543" s="2">
        <f>SQRT(horizons_results_fin_use___Copy__2[[#This Row],[X (Position in AU)]]^2+horizons_results_fin_use___Copy__2[[#This Row],[Y (Position in AU)]]^2+horizons_results_fin_use___Copy__2[[#This Row],[Z (Position in AU)]]^2)</f>
        <v>1.0163021248240021</v>
      </c>
    </row>
    <row r="544" spans="1:5" x14ac:dyDescent="0.3">
      <c r="A544" s="1">
        <f t="shared" si="8"/>
        <v>543</v>
      </c>
      <c r="B544" s="1">
        <v>0.44160934372110078</v>
      </c>
      <c r="C544" s="1">
        <v>-0.83976967543161041</v>
      </c>
      <c r="D544" s="1">
        <v>-0.36402351091608681</v>
      </c>
      <c r="E544" s="2">
        <f>SQRT(horizons_results_fin_use___Copy__2[[#This Row],[X (Position in AU)]]^2+horizons_results_fin_use___Copy__2[[#This Row],[Y (Position in AU)]]^2+horizons_results_fin_use___Copy__2[[#This Row],[Z (Position in AU)]]^2)</f>
        <v>1.0162406391873768</v>
      </c>
    </row>
    <row r="545" spans="1:5" x14ac:dyDescent="0.3">
      <c r="A545" s="1">
        <f t="shared" si="8"/>
        <v>544</v>
      </c>
      <c r="B545" s="1">
        <v>0.4567559844554499</v>
      </c>
      <c r="C545" s="1">
        <v>-0.83285459254238081</v>
      </c>
      <c r="D545" s="1">
        <v>-0.36102674473467189</v>
      </c>
      <c r="E545" s="2">
        <f>SQRT(horizons_results_fin_use___Copy__2[[#This Row],[X (Position in AU)]]^2+horizons_results_fin_use___Copy__2[[#This Row],[Y (Position in AU)]]^2+horizons_results_fin_use___Copy__2[[#This Row],[Z (Position in AU)]]^2)</f>
        <v>1.0161757289310329</v>
      </c>
    </row>
    <row r="546" spans="1:5" x14ac:dyDescent="0.3">
      <c r="A546" s="1">
        <f t="shared" si="8"/>
        <v>545</v>
      </c>
      <c r="B546" s="1">
        <v>0.47177479773117947</v>
      </c>
      <c r="C546" s="1">
        <v>-0.82570566634243459</v>
      </c>
      <c r="D546" s="1">
        <v>-0.35792861140633447</v>
      </c>
      <c r="E546" s="2">
        <f>SQRT(horizons_results_fin_use___Copy__2[[#This Row],[X (Position in AU)]]^2+horizons_results_fin_use___Copy__2[[#This Row],[Y (Position in AU)]]^2+horizons_results_fin_use___Copy__2[[#This Row],[Z (Position in AU)]]^2)</f>
        <v>1.0161073752648222</v>
      </c>
    </row>
    <row r="547" spans="1:5" x14ac:dyDescent="0.3">
      <c r="A547" s="1">
        <f t="shared" si="8"/>
        <v>546</v>
      </c>
      <c r="B547" s="1">
        <v>0.48666173220939862</v>
      </c>
      <c r="C547" s="1">
        <v>-0.81832467498219574</v>
      </c>
      <c r="D547" s="1">
        <v>-0.35472985093124648</v>
      </c>
      <c r="E547" s="2">
        <f>SQRT(horizons_results_fin_use___Copy__2[[#This Row],[X (Position in AU)]]^2+horizons_results_fin_use___Copy__2[[#This Row],[Y (Position in AU)]]^2+horizons_results_fin_use___Copy__2[[#This Row],[Z (Position in AU)]]^2)</f>
        <v>1.0160355222252189</v>
      </c>
    </row>
    <row r="548" spans="1:5" x14ac:dyDescent="0.3">
      <c r="A548" s="1">
        <f t="shared" si="8"/>
        <v>547</v>
      </c>
      <c r="B548" s="1">
        <v>0.50141272687312344</v>
      </c>
      <c r="C548" s="1">
        <v>-0.8107134249254071</v>
      </c>
      <c r="D548" s="1">
        <v>-0.35143121634317043</v>
      </c>
      <c r="E548" s="2">
        <f>SQRT(horizons_results_fin_use___Copy__2[[#This Row],[X (Position in AU)]]^2+horizons_results_fin_use___Copy__2[[#This Row],[Y (Position in AU)]]^2+horizons_results_fin_use___Copy__2[[#This Row],[Z (Position in AU)]]^2)</f>
        <v>1.0159600778795717</v>
      </c>
    </row>
    <row r="549" spans="1:5" x14ac:dyDescent="0.3">
      <c r="A549" s="1">
        <f t="shared" si="8"/>
        <v>548</v>
      </c>
      <c r="B549" s="1">
        <v>0.51602370604396886</v>
      </c>
      <c r="C549" s="1">
        <v>-0.80287375594717125</v>
      </c>
      <c r="D549" s="1">
        <v>-0.34803347676055962</v>
      </c>
      <c r="E549" s="2">
        <f>SQRT(horizons_results_fin_use___Copy__2[[#This Row],[X (Position in AU)]]^2+horizons_results_fin_use___Copy__2[[#This Row],[Y (Position in AU)]]^2+horizons_results_fin_use___Copy__2[[#This Row],[Z (Position in AU)]]^2)</f>
        <v>1.0158809153311785</v>
      </c>
    </row>
    <row r="550" spans="1:5" x14ac:dyDescent="0.3">
      <c r="A550" s="1">
        <f t="shared" si="8"/>
        <v>549</v>
      </c>
      <c r="B550" s="1">
        <v>0.53049057436501357</v>
      </c>
      <c r="C550" s="1">
        <v>-0.79480754640274809</v>
      </c>
      <c r="D550" s="1">
        <v>-0.34453742057919329</v>
      </c>
      <c r="E550" s="2">
        <f>SQRT(horizons_results_fin_use___Copy__2[[#This Row],[X (Position in AU)]]^2+horizons_results_fin_use___Copy__2[[#This Row],[Y (Position in AU)]]^2+horizons_results_fin_use___Copy__2[[#This Row],[Z (Position in AU)]]^2)</f>
        <v>1.0157978733430399</v>
      </c>
    </row>
    <row r="551" spans="1:5" x14ac:dyDescent="0.3">
      <c r="A551" s="1">
        <f t="shared" si="8"/>
        <v>550</v>
      </c>
      <c r="B551" s="1">
        <v>0.54480921120817771</v>
      </c>
      <c r="C551" s="1">
        <v>-0.78651671920392685</v>
      </c>
      <c r="D551" s="1">
        <v>-0.34094385906991792</v>
      </c>
      <c r="E551" s="2">
        <f>SQRT(horizons_results_fin_use___Copy__2[[#This Row],[X (Position in AU)]]^2+horizons_results_fin_use___Copy__2[[#This Row],[Y (Position in AU)]]^2+horizons_results_fin_use___Copy__2[[#This Row],[Z (Position in AU)]]^2)</f>
        <v>1.0157107566832566</v>
      </c>
    </row>
    <row r="552" spans="1:5" x14ac:dyDescent="0.3">
      <c r="A552" s="1">
        <f t="shared" si="8"/>
        <v>551</v>
      </c>
      <c r="B552" s="1">
        <v>0.558975464206099</v>
      </c>
      <c r="C552" s="1">
        <v>-0.778003249446656</v>
      </c>
      <c r="D552" s="1">
        <v>-0.33725363088364618</v>
      </c>
      <c r="E552" s="2">
        <f>SQRT(horizons_results_fin_use___Copy__2[[#This Row],[X (Position in AU)]]^2+horizons_results_fin_use___Copy__2[[#This Row],[Y (Position in AU)]]^2+horizons_results_fin_use___Copy__2[[#This Row],[Z (Position in AU)]]^2)</f>
        <v>1.015619336798085</v>
      </c>
    </row>
    <row r="553" spans="1:5" x14ac:dyDescent="0.3">
      <c r="A553" s="1">
        <f t="shared" si="8"/>
        <v>552</v>
      </c>
      <c r="B553" s="1">
        <v>0.57298514227406105</v>
      </c>
      <c r="C553" s="1">
        <v>-0.76926917513188009</v>
      </c>
      <c r="D553" s="1">
        <v>-0.33346760816686227</v>
      </c>
      <c r="E553" s="2">
        <f>SQRT(horizons_results_fin_use___Copy__2[[#This Row],[X (Position in AU)]]^2+horizons_results_fin_use___Copy__2[[#This Row],[Y (Position in AU)]]^2+horizons_results_fin_use___Copy__2[[#This Row],[Z (Position in AU)]]^2)</f>
        <v>1.0155233541240878</v>
      </c>
    </row>
    <row r="554" spans="1:5" x14ac:dyDescent="0.3">
      <c r="A554" s="1">
        <f t="shared" si="8"/>
        <v>553</v>
      </c>
      <c r="B554" s="1">
        <v>0.58683400968403576</v>
      </c>
      <c r="C554" s="1">
        <v>-0.76031661265868622</v>
      </c>
      <c r="D554" s="1">
        <v>-0.32958670501782228</v>
      </c>
      <c r="E554" s="2">
        <f>SQRT(horizons_results_fin_use___Copy__2[[#This Row],[X (Position in AU)]]^2+horizons_results_fin_use___Copy__2[[#This Row],[Y (Position in AU)]]^2+horizons_results_fin_use___Copy__2[[#This Row],[Z (Position in AU)]]^2)</f>
        <v>1.0154225241401367</v>
      </c>
    </row>
    <row r="555" spans="1:5" x14ac:dyDescent="0.3">
      <c r="A555" s="1">
        <f t="shared" si="8"/>
        <v>554</v>
      </c>
      <c r="B555" s="1">
        <v>0.60051778440964598</v>
      </c>
      <c r="C555" s="1">
        <v>-0.7511477783085333</v>
      </c>
      <c r="D555" s="1">
        <v>-0.32561188865033852</v>
      </c>
      <c r="E555" s="2">
        <f>SQRT(horizons_results_fin_use___Copy__2[[#This Row],[X (Position in AU)]]^2+horizons_results_fin_use___Copy__2[[#This Row],[Y (Position in AU)]]^2+horizons_results_fin_use___Copy__2[[#This Row],[Z (Position in AU)]]^2)</f>
        <v>1.01531654979152</v>
      </c>
    </row>
    <row r="556" spans="1:5" x14ac:dyDescent="0.3">
      <c r="A556" s="1">
        <f t="shared" si="8"/>
        <v>555</v>
      </c>
      <c r="B556" s="1">
        <v>0.6140321455467681</v>
      </c>
      <c r="C556" s="1">
        <v>-0.74176501523861937</v>
      </c>
      <c r="D556" s="1">
        <v>-0.32154419264428702</v>
      </c>
      <c r="E556" s="2">
        <f>SQRT(horizons_results_fin_use___Copy__2[[#This Row],[X (Position in AU)]]^2+horizons_results_fin_use___Copy__2[[#This Row],[Y (Position in AU)]]^2+horizons_results_fin_use___Copy__2[[#This Row],[Z (Position in AU)]]^2)</f>
        <v>1.0152051425303079</v>
      </c>
    </row>
    <row r="557" spans="1:5" x14ac:dyDescent="0.3">
      <c r="A557" s="1">
        <f t="shared" si="8"/>
        <v>556</v>
      </c>
      <c r="B557" s="1">
        <v>0.62737275489083466</v>
      </c>
      <c r="C557" s="1">
        <v>-0.73217082233432018</v>
      </c>
      <c r="D557" s="1">
        <v>-0.31738473003138662</v>
      </c>
      <c r="E557" s="2">
        <f>SQRT(horizons_results_fin_use___Copy__2[[#This Row],[X (Position in AU)]]^2+horizons_results_fin_use___Copy__2[[#This Row],[Y (Position in AU)]]^2+horizons_results_fin_use___Copy__2[[#This Row],[Z (Position in AU)]]^2)</f>
        <v>1.0150880520989922</v>
      </c>
    </row>
    <row r="558" spans="1:5" x14ac:dyDescent="0.3">
      <c r="A558" s="1">
        <f t="shared" si="8"/>
        <v>557</v>
      </c>
      <c r="B558" s="1">
        <v>0.64053529510309903</v>
      </c>
      <c r="C558" s="1">
        <v>-0.72236787751789078</v>
      </c>
      <c r="D558" s="1">
        <v>-0.31313470226611972</v>
      </c>
      <c r="E558" s="2">
        <f>SQRT(horizons_results_fin_use___Copy__2[[#This Row],[X (Position in AU)]]^2+horizons_results_fin_use___Copy__2[[#This Row],[Y (Position in AU)]]^2+horizons_results_fin_use___Copy__2[[#This Row],[Z (Position in AU)]]^2)</f>
        <v>1.0149651011270329</v>
      </c>
    </row>
    <row r="559" spans="1:5" x14ac:dyDescent="0.3">
      <c r="A559" s="1">
        <f t="shared" si="8"/>
        <v>558</v>
      </c>
      <c r="B559" s="1">
        <v>0.65351552079668851</v>
      </c>
      <c r="C559" s="1">
        <v>-0.71235904622357471</v>
      </c>
      <c r="D559" s="1">
        <v>-0.30879539965070818</v>
      </c>
      <c r="E559" s="2">
        <f>SQRT(horizons_results_fin_use___Copy__2[[#This Row],[X (Position in AU)]]^2+horizons_results_fin_use___Copy__2[[#This Row],[Y (Position in AU)]]^2+horizons_results_fin_use___Copy__2[[#This Row],[Z (Position in AU)]]^2)</f>
        <v>1.0148362160980304</v>
      </c>
    </row>
    <row r="560" spans="1:5" x14ac:dyDescent="0.3">
      <c r="A560" s="1">
        <f t="shared" si="8"/>
        <v>559</v>
      </c>
      <c r="B560" s="1">
        <v>0.666309311735101</v>
      </c>
      <c r="C560" s="1">
        <v>-0.70214736849879156</v>
      </c>
      <c r="D560" s="1">
        <v>-0.30436819073810789</v>
      </c>
      <c r="E560" s="2">
        <f>SQRT(horizons_results_fin_use___Copy__2[[#This Row],[X (Position in AU)]]^2+horizons_results_fin_use___Copy__2[[#This Row],[Y (Position in AU)]]^2+horizons_results_fin_use___Copy__2[[#This Row],[Z (Position in AU)]]^2)</f>
        <v>1.0147014445283258</v>
      </c>
    </row>
    <row r="561" spans="1:5" x14ac:dyDescent="0.3">
      <c r="A561" s="1">
        <f t="shared" si="8"/>
        <v>560</v>
      </c>
      <c r="B561" s="1">
        <v>0.67891271409202414</v>
      </c>
      <c r="C561" s="1">
        <v>-0.69173602566016923</v>
      </c>
      <c r="D561" s="1">
        <v>-0.29985450228451688</v>
      </c>
      <c r="E561" s="2">
        <f>SQRT(horizons_results_fin_use___Copy__2[[#This Row],[X (Position in AU)]]^2+horizons_results_fin_use___Copy__2[[#This Row],[Y (Position in AU)]]^2+horizons_results_fin_use___Copy__2[[#This Row],[Z (Position in AU)]]^2)</f>
        <v>1.014560951886194</v>
      </c>
    </row>
    <row r="562" spans="1:5" x14ac:dyDescent="0.3">
      <c r="A562" s="1">
        <f t="shared" si="8"/>
        <v>561</v>
      </c>
      <c r="B562" s="1">
        <v>0.69132195968165211</v>
      </c>
      <c r="C562" s="1">
        <v>-0.68112829546348552</v>
      </c>
      <c r="D562" s="1">
        <v>-0.29525579509183852</v>
      </c>
      <c r="E562" s="2">
        <f>SQRT(horizons_results_fin_use___Copy__2[[#This Row],[X (Position in AU)]]^2+horizons_results_fin_use___Copy__2[[#This Row],[Y (Position in AU)]]^2+horizons_results_fin_use___Copy__2[[#This Row],[Z (Position in AU)]]^2)</f>
        <v>1.0144149995708793</v>
      </c>
    </row>
    <row r="563" spans="1:5" x14ac:dyDescent="0.3">
      <c r="A563" s="1">
        <f t="shared" si="8"/>
        <v>562</v>
      </c>
      <c r="B563" s="1">
        <v>0.70353346201887323</v>
      </c>
      <c r="C563" s="1">
        <v>-0.67032750803054808</v>
      </c>
      <c r="D563" s="1">
        <v>-0.29057354204837588</v>
      </c>
      <c r="E563" s="2">
        <f>SQRT(horizons_results_fin_use___Copy__2[[#This Row],[X (Position in AU)]]^2+horizons_results_fin_use___Copy__2[[#This Row],[Y (Position in AU)]]^2+horizons_results_fin_use___Copy__2[[#This Row],[Z (Position in AU)]]^2)</f>
        <v>1.0142639121753496</v>
      </c>
    </row>
    <row r="564" spans="1:5" x14ac:dyDescent="0.3">
      <c r="A564" s="1">
        <f t="shared" si="8"/>
        <v>563</v>
      </c>
      <c r="B564" s="1">
        <v>0.71554379601669327</v>
      </c>
      <c r="C564" s="1">
        <v>-0.65933701182801541</v>
      </c>
      <c r="D564" s="1">
        <v>-0.28580921255687852</v>
      </c>
      <c r="E564" s="2">
        <f>SQRT(horizons_results_fin_use___Copy__2[[#This Row],[X (Position in AU)]]^2+horizons_results_fin_use___Copy__2[[#This Row],[Y (Position in AU)]]^2+horizons_results_fin_use___Copy__2[[#This Row],[Z (Position in AU)]]^2)</f>
        <v>1.0141080441287598</v>
      </c>
    </row>
    <row r="565" spans="1:5" x14ac:dyDescent="0.3">
      <c r="A565" s="1">
        <f t="shared" si="8"/>
        <v>564</v>
      </c>
      <c r="B565" s="1">
        <v>0.72734967092713232</v>
      </c>
      <c r="C565" s="1">
        <v>-0.64816015296782703</v>
      </c>
      <c r="D565" s="1">
        <v>-0.28096426425960819</v>
      </c>
      <c r="E565" s="2">
        <f>SQRT(horizons_results_fin_use___Copy__2[[#This Row],[X (Position in AU)]]^2+horizons_results_fin_use___Copy__2[[#This Row],[Y (Position in AU)]]^2+horizons_results_fin_use___Copy__2[[#This Row],[Z (Position in AU)]]^2)</f>
        <v>1.013947752837407</v>
      </c>
    </row>
    <row r="566" spans="1:5" x14ac:dyDescent="0.3">
      <c r="A566" s="1">
        <f t="shared" si="8"/>
        <v>565</v>
      </c>
      <c r="B566" s="1">
        <v>0.73894790419921241</v>
      </c>
      <c r="C566" s="1">
        <v>-0.63680026608166573</v>
      </c>
      <c r="D566" s="1">
        <v>-0.27604014057276072</v>
      </c>
      <c r="E566" s="2">
        <f>SQRT(horizons_results_fin_use___Copy__2[[#This Row],[X (Position in AU)]]^2+horizons_results_fin_use___Copy__2[[#This Row],[Y (Position in AU)]]^2+horizons_results_fin_use___Copy__2[[#This Row],[Z (Position in AU)]]^2)</f>
        <v>1.0137833808114622</v>
      </c>
    </row>
    <row r="567" spans="1:5" x14ac:dyDescent="0.3">
      <c r="A567" s="1">
        <f t="shared" si="8"/>
        <v>566</v>
      </c>
      <c r="B567" s="1">
        <v>0.75033540017513611</v>
      </c>
      <c r="C567" s="1">
        <v>-0.62526067282136089</v>
      </c>
      <c r="D567" s="1">
        <v>-0.27103827171824713</v>
      </c>
      <c r="E567" s="2">
        <f>SQRT(horizons_results_fin_use___Copy__2[[#This Row],[X (Position in AU)]]^2+horizons_results_fin_use___Copy__2[[#This Row],[Y (Position in AU)]]^2+horizons_results_fin_use___Copy__2[[#This Row],[Z (Position in AU)]]^2)</f>
        <v>1.0136152457757415</v>
      </c>
    </row>
    <row r="568" spans="1:5" x14ac:dyDescent="0.3">
      <c r="A568" s="1">
        <f t="shared" si="8"/>
        <v>567</v>
      </c>
      <c r="B568" s="1">
        <v>0.76150913436687651</v>
      </c>
      <c r="C568" s="1">
        <v>-0.61354468415370489</v>
      </c>
      <c r="D568" s="1">
        <v>-0.26596007724857262</v>
      </c>
      <c r="E568" s="2">
        <f>SQRT(horizons_results_fin_use___Copy__2[[#This Row],[X (Position in AU)]]^2+horizons_results_fin_use___Copy__2[[#This Row],[Y (Position in AU)]]^2+horizons_results_fin_use___Copy__2[[#This Row],[Z (Position in AU)]]^2)</f>
        <v>1.0134436362558727</v>
      </c>
    </row>
    <row r="569" spans="1:5" x14ac:dyDescent="0.3">
      <c r="A569" s="1">
        <f t="shared" si="8"/>
        <v>568</v>
      </c>
      <c r="B569" s="1">
        <v>0.77246614227963206</v>
      </c>
      <c r="C569" s="1">
        <v>-0.60165560378910943</v>
      </c>
      <c r="D569" s="1">
        <v>-0.26080696879407073</v>
      </c>
      <c r="E569" s="2">
        <f>SQRT(horizons_results_fin_use___Copy__2[[#This Row],[X (Position in AU)]]^2+horizons_results_fin_use___Copy__2[[#This Row],[Y (Position in AU)]]^2+horizons_results_fin_use___Copy__2[[#This Row],[Z (Position in AU)]]^2)</f>
        <v>1.0132688100947183</v>
      </c>
    </row>
    <row r="570" spans="1:5" x14ac:dyDescent="0.3">
      <c r="A570" s="1">
        <f t="shared" si="8"/>
        <v>569</v>
      </c>
      <c r="B570" s="1">
        <v>0.78320351116856102</v>
      </c>
      <c r="C570" s="1">
        <v>-0.5895967313661955</v>
      </c>
      <c r="D570" s="1">
        <v>-0.25558035245851529</v>
      </c>
      <c r="E570" s="2">
        <f>SQRT(horizons_results_fin_use___Copy__2[[#This Row],[X (Position in AU)]]^2+horizons_results_fin_use___Copy__2[[#This Row],[Y (Position in AU)]]^2+horizons_results_fin_use___Copy__2[[#This Row],[Z (Position in AU)]]^2)</f>
        <v>1.0130909939917947</v>
      </c>
    </row>
    <row r="571" spans="1:5" x14ac:dyDescent="0.3">
      <c r="A571" s="1">
        <f t="shared" si="8"/>
        <v>570</v>
      </c>
      <c r="B571" s="1">
        <v>0.79371837323899397</v>
      </c>
      <c r="C571" s="1">
        <v>-0.57737136499704966</v>
      </c>
      <c r="D571" s="1">
        <v>-0.25028163077843479</v>
      </c>
      <c r="E571" s="2">
        <f>SQRT(horizons_results_fin_use___Copy__2[[#This Row],[X (Position in AU)]]^2+horizons_results_fin_use___Copy__2[[#This Row],[Y (Position in AU)]]^2+horizons_results_fin_use___Copy__2[[#This Row],[Z (Position in AU)]]^2)</f>
        <v>1.0129103829267543</v>
      </c>
    </row>
    <row r="572" spans="1:5" x14ac:dyDescent="0.3">
      <c r="A572" s="1">
        <f t="shared" si="8"/>
        <v>571</v>
      </c>
      <c r="B572" s="1">
        <v>0.8040078992320504</v>
      </c>
      <c r="C572" s="1">
        <v>-0.56498280338497453</v>
      </c>
      <c r="D572" s="1">
        <v>-0.24491220443594081</v>
      </c>
      <c r="E572" s="2">
        <f>SQRT(horizons_results_fin_use___Copy__2[[#This Row],[X (Position in AU)]]^2+horizons_results_fin_use___Copy__2[[#This Row],[Y (Position in AU)]]^2+horizons_results_fin_use___Copy__2[[#This Row],[Z (Position in AU)]]^2)</f>
        <v>1.0127271389816468</v>
      </c>
    </row>
    <row r="573" spans="1:5" x14ac:dyDescent="0.3">
      <c r="A573" s="1">
        <f t="shared" si="8"/>
        <v>572</v>
      </c>
      <c r="B573" s="1">
        <v>0.8140692918421516</v>
      </c>
      <c r="C573" s="1">
        <v>-0.55243434801157276</v>
      </c>
      <c r="D573" s="1">
        <v>-0.23947347402006669</v>
      </c>
      <c r="E573" s="2">
        <f>SQRT(horizons_results_fin_use___Copy__2[[#This Row],[X (Position in AU)]]^2+horizons_results_fin_use___Copy__2[[#This Row],[Y (Position in AU)]]^2+horizons_results_fin_use___Copy__2[[#This Row],[Z (Position in AU)]]^2)</f>
        <v>1.0125413895454316</v>
      </c>
    </row>
    <row r="574" spans="1:5" x14ac:dyDescent="0.3">
      <c r="A574" s="1">
        <f t="shared" si="8"/>
        <v>573</v>
      </c>
      <c r="B574" s="1">
        <v>0.82389977886096966</v>
      </c>
      <c r="C574" s="1">
        <v>-0.53972930593030555</v>
      </c>
      <c r="D574" s="1">
        <v>-0.23396684211699401</v>
      </c>
      <c r="E574" s="2">
        <f>SQRT(horizons_results_fin_use___Copy__2[[#This Row],[X (Position in AU)]]^2+horizons_results_fin_use___Copy__2[[#This Row],[Y (Position in AU)]]^2+horizons_results_fin_use___Copy__2[[#This Row],[Z (Position in AU)]]^2)</f>
        <v>1.0123532251627207</v>
      </c>
    </row>
    <row r="575" spans="1:5" x14ac:dyDescent="0.3">
      <c r="A575" s="1">
        <f t="shared" si="8"/>
        <v>574</v>
      </c>
      <c r="B575" s="1">
        <v>0.83349660625794131</v>
      </c>
      <c r="C575" s="1">
        <v>-0.52687099357898204</v>
      </c>
      <c r="D575" s="1">
        <v>-0.2283937159214941</v>
      </c>
      <c r="E575" s="2">
        <f>SQRT(horizons_results_fin_use___Copy__2[[#This Row],[X (Position in AU)]]^2+horizons_results_fin_use___Copy__2[[#This Row],[Y (Position in AU)]]^2+horizons_results_fin_use___Copy__2[[#This Row],[Z (Position in AU)]]^2)</f>
        <v>1.0121626973915001</v>
      </c>
    </row>
    <row r="576" spans="1:5" x14ac:dyDescent="0.3">
      <c r="A576" s="1">
        <f t="shared" si="8"/>
        <v>575</v>
      </c>
      <c r="B576" s="1">
        <v>0.84285703154882829</v>
      </c>
      <c r="C576" s="1">
        <v>-0.51386274182130687</v>
      </c>
      <c r="D576" s="1">
        <v>-0.22275551044812461</v>
      </c>
      <c r="E576" s="2">
        <f>SQRT(horizons_results_fin_use___Copy__2[[#This Row],[X (Position in AU)]]^2+horizons_results_fin_use___Copy__2[[#This Row],[Y (Position in AU)]]^2+horizons_results_fin_use___Copy__2[[#This Row],[Z (Position in AU)]]^2)</f>
        <v>1.0119698169898241</v>
      </c>
    </row>
    <row r="577" spans="1:5" x14ac:dyDescent="0.3">
      <c r="A577" s="1">
        <f t="shared" si="8"/>
        <v>576</v>
      </c>
      <c r="B577" s="1">
        <v>0.85197831777343069</v>
      </c>
      <c r="C577" s="1">
        <v>-0.50070790224561679</v>
      </c>
      <c r="D577" s="1">
        <v>-0.21705365233068069</v>
      </c>
      <c r="E577" s="2">
        <f>SQRT(horizons_results_fin_use___Copy__2[[#This Row],[X (Position in AU)]]^2+horizons_results_fin_use___Copy__2[[#This Row],[Y (Position in AU)]]^2+horizons_results_fin_use___Copy__2[[#This Row],[Z (Position in AU)]]^2)</f>
        <v>1.0117745526140391</v>
      </c>
    </row>
    <row r="578" spans="1:5" x14ac:dyDescent="0.3">
      <c r="A578" s="1">
        <f t="shared" si="8"/>
        <v>577</v>
      </c>
      <c r="B578" s="1">
        <v>0.86085772826226359</v>
      </c>
      <c r="C578" s="1">
        <v>-0.48740985467887749</v>
      </c>
      <c r="D578" s="1">
        <v>-0.21128958417385149</v>
      </c>
      <c r="E578" s="2">
        <f>SQRT(horizons_results_fin_use___Copy__2[[#This Row],[X (Position in AU)]]^2+horizons_results_fin_use___Copy__2[[#This Row],[Y (Position in AU)]]^2+horizons_results_fin_use___Copy__2[[#This Row],[Z (Position in AU)]]^2)</f>
        <v>1.0115768300664605</v>
      </c>
    </row>
    <row r="579" spans="1:5" x14ac:dyDescent="0.3">
      <c r="A579" s="1">
        <f t="shared" si="8"/>
        <v>578</v>
      </c>
      <c r="B579" s="1">
        <v>0.86949252223702866</v>
      </c>
      <c r="C579" s="1">
        <v>-0.47397201597073152</v>
      </c>
      <c r="D579" s="1">
        <v>-0.2054647694806388</v>
      </c>
      <c r="E579" s="2">
        <f>SQRT(horizons_results_fin_use___Copy__2[[#This Row],[X (Position in AU)]]^2+horizons_results_fin_use___Copy__2[[#This Row],[Y (Position in AU)]]^2+horizons_results_fin_use___Copy__2[[#This Row],[Z (Position in AU)]]^2)</f>
        <v>1.0113765320824888</v>
      </c>
    </row>
    <row r="580" spans="1:5" x14ac:dyDescent="0.3">
      <c r="A580" s="1">
        <f t="shared" ref="A580:A643" si="9">A579+1</f>
        <v>579</v>
      </c>
      <c r="B580" s="1">
        <v>0.87787995131241148</v>
      </c>
      <c r="C580" s="1">
        <v>-0.46039785035372949</v>
      </c>
      <c r="D580" s="1">
        <v>-0.19958069830482411</v>
      </c>
      <c r="E580" s="2">
        <f>SQRT(horizons_results_fin_use___Copy__2[[#This Row],[X (Position in AU)]]^2+horizons_results_fin_use___Copy__2[[#This Row],[Y (Position in AU)]]^2+horizons_results_fin_use___Copy__2[[#This Row],[Z (Position in AU)]]^2)</f>
        <v>1.0111734987935841</v>
      </c>
    </row>
    <row r="581" spans="1:5" x14ac:dyDescent="0.3">
      <c r="A581" s="1">
        <f t="shared" si="9"/>
        <v>580</v>
      </c>
      <c r="B581" s="1">
        <v>0.88601725729392755</v>
      </c>
      <c r="C581" s="1">
        <v>-0.44669088198965978</v>
      </c>
      <c r="D581" s="1">
        <v>-0.19363889390637889</v>
      </c>
      <c r="E581" s="2">
        <f>SQRT(horizons_results_fin_use___Copy__2[[#This Row],[X (Position in AU)]]^2+horizons_results_fin_use___Copy__2[[#This Row],[Y (Position in AU)]]^2+horizons_results_fin_use___Copy__2[[#This Row],[Z (Position in AU)]]^2)</f>
        <v>1.0109675294037093</v>
      </c>
    </row>
    <row r="582" spans="1:5" x14ac:dyDescent="0.3">
      <c r="A582" s="1">
        <f t="shared" si="9"/>
        <v>581</v>
      </c>
      <c r="B582" s="1">
        <v>0.89390167238456975</v>
      </c>
      <c r="C582" s="1">
        <v>-0.4328547104594313</v>
      </c>
      <c r="D582" s="1">
        <v>-0.18764092070669769</v>
      </c>
      <c r="E582" s="2">
        <f>SQRT(horizons_results_fin_use___Copy__2[[#This Row],[X (Position in AU)]]^2+horizons_results_fin_use___Copy__2[[#This Row],[Y (Position in AU)]]^2+horizons_results_fin_use___Copy__2[[#This Row],[Z (Position in AU)]]^2)</f>
        <v>1.0107583862538594</v>
      </c>
    </row>
    <row r="583" spans="1:5" x14ac:dyDescent="0.3">
      <c r="A583" s="1">
        <f t="shared" si="9"/>
        <v>582</v>
      </c>
      <c r="B583" s="1">
        <v>0.90153042395429772</v>
      </c>
      <c r="C583" s="1">
        <v>-0.41889302962841513</v>
      </c>
      <c r="D583" s="1">
        <v>-0.1815883935946114</v>
      </c>
      <c r="E583" s="2">
        <f>SQRT(horizons_results_fin_use___Copy__2[[#This Row],[X (Position in AU)]]^2+horizons_results_fin_use___Copy__2[[#This Row],[Y (Position in AU)]]^2+horizons_results_fin_use___Copy__2[[#This Row],[Z (Position in AU)]]^2)</f>
        <v>1.0105458031552847</v>
      </c>
    </row>
    <row r="584" spans="1:5" x14ac:dyDescent="0.3">
      <c r="A584" s="1">
        <f t="shared" si="9"/>
        <v>583</v>
      </c>
      <c r="B584" s="1">
        <v>0.90890074702038892</v>
      </c>
      <c r="C584" s="1">
        <v>-0.40480964916176398</v>
      </c>
      <c r="D584" s="1">
        <v>-0.1754829879705147</v>
      </c>
      <c r="E584" s="2">
        <f>SQRT(horizons_results_fin_use___Copy__2[[#This Row],[X (Position in AU)]]^2+horizons_results_fin_use___Copy__2[[#This Row],[Y (Position in AU)]]^2+horizons_results_fin_use___Copy__2[[#This Row],[Z (Position in AU)]]^2)</f>
        <v>1.0103295002402688</v>
      </c>
    </row>
    <row r="585" spans="1:5" x14ac:dyDescent="0.3">
      <c r="A585" s="1">
        <f t="shared" si="9"/>
        <v>584</v>
      </c>
      <c r="B585" s="1">
        <v>0.916009907726129</v>
      </c>
      <c r="C585" s="1">
        <v>-0.39060851581655198</v>
      </c>
      <c r="D585" s="1">
        <v>-0.1693264488173154</v>
      </c>
      <c r="E585" s="2">
        <f>SQRT(horizons_results_fin_use___Copy__2[[#This Row],[X (Position in AU)]]^2+horizons_results_fin_use___Copy__2[[#This Row],[Y (Position in AU)]]^2+horizons_results_fin_use___Copy__2[[#This Row],[Z (Position in AU)]]^2)</f>
        <v>1.0101092069424591</v>
      </c>
    </row>
    <row r="586" spans="1:5" x14ac:dyDescent="0.3">
      <c r="A586" s="1">
        <f t="shared" si="9"/>
        <v>585</v>
      </c>
      <c r="B586" s="1">
        <v>0.92285523929883462</v>
      </c>
      <c r="C586" s="1">
        <v>-0.37629372900753938</v>
      </c>
      <c r="D586" s="1">
        <v>-0.16312059589574859</v>
      </c>
      <c r="E586" s="2">
        <f>SQRT(horizons_results_fin_use___Copy__2[[#This Row],[X (Position in AU)]]^2+horizons_results_fin_use___Copy__2[[#This Row],[Y (Position in AU)]]^2+horizons_results_fin_use___Copy__2[[#This Row],[Z (Position in AU)]]^2)</f>
        <v>1.0098846924263645</v>
      </c>
    </row>
    <row r="587" spans="1:5" x14ac:dyDescent="0.3">
      <c r="A587" s="1">
        <f t="shared" si="9"/>
        <v>586</v>
      </c>
      <c r="B587" s="1">
        <v>0.92943418765151875</v>
      </c>
      <c r="C587" s="1">
        <v>-0.36186954358793189</v>
      </c>
      <c r="D587" s="1">
        <v>-0.15686732171062431</v>
      </c>
      <c r="E587" s="2">
        <f>SQRT(horizons_results_fin_use___Copy__2[[#This Row],[X (Position in AU)]]^2+horizons_results_fin_use___Copy__2[[#This Row],[Y (Position in AU)]]^2+horizons_results_fin_use___Copy__2[[#This Row],[Z (Position in AU)]]^2)</f>
        <v>1.0096557989595469</v>
      </c>
    </row>
    <row r="588" spans="1:5" x14ac:dyDescent="0.3">
      <c r="A588" s="1">
        <f t="shared" si="9"/>
        <v>587</v>
      </c>
      <c r="B588" s="1">
        <v>0.93574435822766699</v>
      </c>
      <c r="C588" s="1">
        <v>-0.34734035439982941</v>
      </c>
      <c r="D588" s="1">
        <v>-0.15056858014614871</v>
      </c>
      <c r="E588" s="2">
        <f>SQRT(horizons_results_fin_use___Copy__2[[#This Row],[X (Position in AU)]]^2+horizons_results_fin_use___Copy__2[[#This Row],[Y (Position in AU)]]^2+horizons_results_fin_use___Copy__2[[#This Row],[Z (Position in AU)]]^2)</f>
        <v>1.0094224700672829</v>
      </c>
    </row>
    <row r="589" spans="1:5" x14ac:dyDescent="0.3">
      <c r="A589" s="1">
        <f t="shared" si="9"/>
        <v>588</v>
      </c>
      <c r="B589" s="1">
        <v>0.94178355230278799</v>
      </c>
      <c r="C589" s="1">
        <v>-0.33271066267659538</v>
      </c>
      <c r="D589" s="1">
        <v>-0.14422636673280259</v>
      </c>
      <c r="E589" s="2">
        <f>SQRT(horizons_results_fin_use___Copy__2[[#This Row],[X (Position in AU)]]^2+horizons_results_fin_use___Copy__2[[#This Row],[Y (Position in AU)]]^2+horizons_results_fin_use___Copy__2[[#This Row],[Z (Position in AU)]]^2)</f>
        <v>1.0091847647025307</v>
      </c>
    </row>
    <row r="590" spans="1:5" x14ac:dyDescent="0.3">
      <c r="A590" s="1">
        <f t="shared" si="9"/>
        <v>589</v>
      </c>
      <c r="B590" s="1">
        <v>0.94754978307439164</v>
      </c>
      <c r="C590" s="1">
        <v>-0.31798503141728651</v>
      </c>
      <c r="D590" s="1">
        <v>-0.13784269490815221</v>
      </c>
      <c r="E590" s="2">
        <f>SQRT(horizons_results_fin_use___Copy__2[[#This Row],[X (Position in AU)]]^2+horizons_results_fin_use___Copy__2[[#This Row],[Y (Position in AU)]]^2+horizons_results_fin_use___Copy__2[[#This Row],[Z (Position in AU)]]^2)</f>
        <v>1.0089428527668558</v>
      </c>
    </row>
    <row r="591" spans="1:5" x14ac:dyDescent="0.3">
      <c r="A591" s="1">
        <f t="shared" si="9"/>
        <v>590</v>
      </c>
      <c r="B591" s="1">
        <v>0.95304126916308252</v>
      </c>
      <c r="C591" s="1">
        <v>-0.30316804093448851</v>
      </c>
      <c r="D591" s="1">
        <v>-0.13141957413228819</v>
      </c>
      <c r="E591" s="2">
        <f>SQRT(horizons_results_fin_use___Copy__2[[#This Row],[X (Position in AU)]]^2+horizons_results_fin_use___Copy__2[[#This Row],[Y (Position in AU)]]^2+horizons_results_fin_use___Copy__2[[#This Row],[Z (Position in AU)]]^2)</f>
        <v>1.0086969942639596</v>
      </c>
    </row>
    <row r="592" spans="1:5" x14ac:dyDescent="0.3">
      <c r="A592" s="1">
        <f t="shared" si="9"/>
        <v>591</v>
      </c>
      <c r="B592" s="1">
        <v>0.95825641113025439</v>
      </c>
      <c r="C592" s="1">
        <v>-0.28826425428529612</v>
      </c>
      <c r="D592" s="1">
        <v>-0.1249589943396755</v>
      </c>
      <c r="E592" s="2">
        <f>SQRT(horizons_results_fin_use___Copy__2[[#This Row],[X (Position in AU)]]^2+horizons_results_fin_use___Copy__2[[#This Row],[Y (Position in AU)]]^2+horizons_results_fin_use___Copy__2[[#This Row],[Z (Position in AU)]]^2)</f>
        <v>1.0084475098076626</v>
      </c>
    </row>
    <row r="593" spans="1:5" x14ac:dyDescent="0.3">
      <c r="A593" s="1">
        <f t="shared" si="9"/>
        <v>592</v>
      </c>
      <c r="B593" s="1">
        <v>0.96319376061091888</v>
      </c>
      <c r="C593" s="1">
        <v>-0.27327819684808902</v>
      </c>
      <c r="D593" s="1">
        <v>-0.1184629181377559</v>
      </c>
      <c r="E593" s="2">
        <f>SQRT(horizons_results_fin_use___Copy__2[[#This Row],[X (Position in AU)]]^2+horizons_results_fin_use___Copy__2[[#This Row],[Y (Position in AU)]]^2+horizons_results_fin_use___Copy__2[[#This Row],[Z (Position in AU)]]^2)</f>
        <v>1.0081947511895009</v>
      </c>
    </row>
    <row r="594" spans="1:5" x14ac:dyDescent="0.3">
      <c r="A594" s="1">
        <f t="shared" si="9"/>
        <v>593</v>
      </c>
      <c r="B594" s="1">
        <v>0.96785199062864014</v>
      </c>
      <c r="C594" s="1">
        <v>-0.25821434878463889</v>
      </c>
      <c r="D594" s="1">
        <v>-0.11193327944483759</v>
      </c>
      <c r="E594" s="2">
        <f>SQRT(horizons_results_fin_use___Copy__2[[#This Row],[X (Position in AU)]]^2+horizons_results_fin_use___Copy__2[[#This Row],[Y (Position in AU)]]^2+horizons_results_fin_use___Copy__2[[#This Row],[Z (Position in AU)]]^2)</f>
        <v>1.0079390778858475</v>
      </c>
    </row>
    <row r="595" spans="1:5" x14ac:dyDescent="0.3">
      <c r="A595" s="1">
        <f t="shared" si="9"/>
        <v>594</v>
      </c>
      <c r="B595" s="1">
        <v>0.97222987190478993</v>
      </c>
      <c r="C595" s="1">
        <v>-0.2430771461519424</v>
      </c>
      <c r="D595" s="1">
        <v>-0.1053719860454069</v>
      </c>
      <c r="E595" s="2">
        <f>SQRT(horizons_results_fin_use___Copy__2[[#This Row],[X (Position in AU)]]^2+horizons_results_fin_use___Copy__2[[#This Row],[Y (Position in AU)]]^2+horizons_results_fin_use___Copy__2[[#This Row],[Z (Position in AU)]]^2)</f>
        <v>1.0076808414614871</v>
      </c>
    </row>
    <row r="596" spans="1:5" x14ac:dyDescent="0.3">
      <c r="A596" s="1">
        <f t="shared" si="9"/>
        <v>595</v>
      </c>
      <c r="B596" s="1">
        <v>0.97632625626499836</v>
      </c>
      <c r="C596" s="1">
        <v>-0.22787098614389181</v>
      </c>
      <c r="D596" s="1">
        <v>-9.8780923686365874E-2</v>
      </c>
      <c r="E596" s="2">
        <f>SQRT(horizons_results_fin_use___Copy__2[[#This Row],[X (Position in AU)]]^2+horizons_results_fin_use___Copy__2[[#This Row],[Y (Position in AU)]]^2+horizons_results_fin_use___Copy__2[[#This Row],[Z (Position in AU)]]^2)</f>
        <v>1.0074203769444752</v>
      </c>
    </row>
    <row r="597" spans="1:5" x14ac:dyDescent="0.3">
      <c r="A597" s="1">
        <f t="shared" si="9"/>
        <v>596</v>
      </c>
      <c r="B597" s="1">
        <v>0.98014006594865766</v>
      </c>
      <c r="C597" s="1">
        <v>-0.21260023314102861</v>
      </c>
      <c r="D597" s="1">
        <v>-9.2161960123892619E-2</v>
      </c>
      <c r="E597" s="2">
        <f>SQRT(horizons_results_fin_use___Copy__2[[#This Row],[X (Position in AU)]]^2+horizons_results_fin_use___Copy__2[[#This Row],[Y (Position in AU)]]^2+horizons_results_fin_use___Copy__2[[#This Row],[Z (Position in AU)]]^2)</f>
        <v>1.007157998976991</v>
      </c>
    </row>
    <row r="598" spans="1:5" x14ac:dyDescent="0.3">
      <c r="A598" s="1">
        <f t="shared" si="9"/>
        <v>597</v>
      </c>
      <c r="B598" s="1">
        <v>0.98367028675864354</v>
      </c>
      <c r="C598" s="1">
        <v>-0.1972692237590091</v>
      </c>
      <c r="D598" s="1">
        <v>-8.5516948364519757E-2</v>
      </c>
      <c r="E598" s="2">
        <f>SQRT(horizons_results_fin_use___Copy__2[[#This Row],[X (Position in AU)]]^2+horizons_results_fin_use___Copy__2[[#This Row],[Y (Position in AU)]]^2+horizons_results_fin_use___Copy__2[[#This Row],[Z (Position in AU)]]^2)</f>
        <v>1.0068940004548115</v>
      </c>
    </row>
    <row r="599" spans="1:5" x14ac:dyDescent="0.3">
      <c r="A599" s="1">
        <f t="shared" si="9"/>
        <v>598</v>
      </c>
      <c r="B599" s="1">
        <v>0.98691596302238327</v>
      </c>
      <c r="C599" s="1">
        <v>-0.1818822703195602</v>
      </c>
      <c r="D599" s="1">
        <v>-7.884772896591663E-2</v>
      </c>
      <c r="E599" s="2">
        <f>SQRT(horizons_results_fin_use___Copy__2[[#This Row],[X (Position in AU)]]^2+horizons_results_fin_use___Copy__2[[#This Row],[Y (Position in AU)]]^2+horizons_results_fin_use___Copy__2[[#This Row],[Z (Position in AU)]]^2)</f>
        <v>1.0066286518314878</v>
      </c>
    </row>
    <row r="600" spans="1:5" x14ac:dyDescent="0.3">
      <c r="A600" s="1">
        <f t="shared" si="9"/>
        <v>599</v>
      </c>
      <c r="B600" s="1">
        <v>0.9898761927832096</v>
      </c>
      <c r="C600" s="1">
        <v>-0.16644366298929719</v>
      </c>
      <c r="D600" s="1">
        <v>-7.2156131643851013E-2</v>
      </c>
      <c r="E600" s="2">
        <f>SQRT(horizons_results_fin_use___Copy__2[[#This Row],[X (Position in AU)]]^2+horizons_results_fin_use___Copy__2[[#This Row],[Y (Position in AU)]]^2+horizons_results_fin_use___Copy__2[[#This Row],[Z (Position in AU)]]^2)</f>
        <v>1.0063621998674639</v>
      </c>
    </row>
    <row r="601" spans="1:5" x14ac:dyDescent="0.3">
      <c r="A601" s="1">
        <f t="shared" si="9"/>
        <v>600</v>
      </c>
      <c r="B601" s="1">
        <v>0.99255012222251049</v>
      </c>
      <c r="C601" s="1">
        <v>-0.15095767130626361</v>
      </c>
      <c r="D601" s="1">
        <v>-6.544397662643478E-2</v>
      </c>
      <c r="E601" s="2">
        <f>SQRT(horizons_results_fin_use___Copy__2[[#This Row],[X (Position in AU)]]^2+horizons_results_fin_use___Copy__2[[#This Row],[Y (Position in AU)]]^2+horizons_results_fin_use___Copy__2[[#This Row],[Z (Position in AU)]]^2)</f>
        <v>1.0060948651726693</v>
      </c>
    </row>
    <row r="602" spans="1:5" x14ac:dyDescent="0.3">
      <c r="A602" s="1">
        <f t="shared" si="9"/>
        <v>601</v>
      </c>
      <c r="B602" s="1">
        <v>0.99493693891015156</v>
      </c>
      <c r="C602" s="1">
        <v>-0.1354285460284575</v>
      </c>
      <c r="D602" s="1">
        <v>-5.8713076258448578E-2</v>
      </c>
      <c r="E602" s="2">
        <f>SQRT(horizons_results_fin_use___Copy__2[[#This Row],[X (Position in AU)]]^2+horizons_results_fin_use___Copy__2[[#This Row],[Y (Position in AU)]]^2+horizons_results_fin_use___Copy__2[[#This Row],[Z (Position in AU)]]^2)</f>
        <v>1.0058268383827382</v>
      </c>
    </row>
    <row r="603" spans="1:5" x14ac:dyDescent="0.3">
      <c r="A603" s="1">
        <f t="shared" si="9"/>
        <v>602</v>
      </c>
      <c r="B603" s="1">
        <v>0.99703586404106548</v>
      </c>
      <c r="C603" s="1">
        <v>-0.1198605222429471</v>
      </c>
      <c r="D603" s="1">
        <v>-5.1965237316811803E-2</v>
      </c>
      <c r="E603" s="2">
        <f>SQRT(horizons_results_fin_use___Copy__2[[#This Row],[X (Position in AU)]]^2+horizons_results_fin_use___Copy__2[[#This Row],[Y (Position in AU)]]^2+horizons_results_fin_use___Copy__2[[#This Row],[Z (Position in AU)]]^2)</f>
        <v>1.005558275221212</v>
      </c>
    </row>
    <row r="604" spans="1:5" x14ac:dyDescent="0.3">
      <c r="A604" s="1">
        <f t="shared" si="9"/>
        <v>603</v>
      </c>
      <c r="B604" s="1">
        <v>0.99884614428736818</v>
      </c>
      <c r="C604" s="1">
        <v>-0.10425782449287151</v>
      </c>
      <c r="D604" s="1">
        <v>-4.5202264369698507E-2</v>
      </c>
      <c r="E604" s="2">
        <f>SQRT(horizons_results_fin_use___Copy__2[[#This Row],[X (Position in AU)]]^2+horizons_results_fin_use___Copy__2[[#This Row],[Y (Position in AU)]]^2+horizons_results_fin_use___Copy__2[[#This Row],[Z (Position in AU)]]^2)</f>
        <v>1.0052892910152165</v>
      </c>
    </row>
    <row r="605" spans="1:5" x14ac:dyDescent="0.3">
      <c r="A605" s="1">
        <f t="shared" si="9"/>
        <v>604</v>
      </c>
      <c r="B605" s="1">
        <v>1.000367044207743</v>
      </c>
      <c r="C605" s="1">
        <v>-8.8624674350176388E-2</v>
      </c>
      <c r="D605" s="1">
        <v>-3.8425964320908793E-2</v>
      </c>
      <c r="E605" s="2">
        <f>SQRT(horizons_results_fin_use___Copy__2[[#This Row],[X (Position in AU)]]^2+horizons_results_fin_use___Copy__2[[#This Row],[Y (Position in AU)]]^2+horizons_results_fin_use___Copy__2[[#This Row],[Z (Position in AU)]]^2)</f>
        <v>1.0050199554111365</v>
      </c>
    </row>
    <row r="606" spans="1:5" x14ac:dyDescent="0.3">
      <c r="A606" s="1">
        <f t="shared" si="9"/>
        <v>605</v>
      </c>
      <c r="B606" s="1">
        <v>1.001597840250495</v>
      </c>
      <c r="C606" s="1">
        <v>-7.2965300464739397E-2</v>
      </c>
      <c r="D606" s="1">
        <v>-3.1638152073105753E-2</v>
      </c>
      <c r="E606" s="2">
        <f>SQRT(horizons_results_fin_use___Copy__2[[#This Row],[X (Position in AU)]]^2+horizons_results_fin_use___Copy__2[[#This Row],[Y (Position in AU)]]^2+horizons_results_fin_use___Copy__2[[#This Row],[Z (Position in AU)]]^2)</f>
        <v>1.0047502880482129</v>
      </c>
    </row>
    <row r="607" spans="1:5" x14ac:dyDescent="0.3">
      <c r="A607" s="1">
        <f t="shared" si="9"/>
        <v>606</v>
      </c>
      <c r="B607" s="1">
        <v>1.0025378172670709</v>
      </c>
      <c r="C607" s="1">
        <v>-5.7283950772931587E-2</v>
      </c>
      <c r="D607" s="1">
        <v>-2.4840657077428361E-2</v>
      </c>
      <c r="E607" s="2">
        <f>SQRT(horizons_results_fin_use___Copy__2[[#This Row],[X (Position in AU)]]^2+horizons_results_fin_use___Copy__2[[#This Row],[Y (Position in AU)]]^2+horizons_results_fin_use___Copy__2[[#This Row],[Z (Position in AU)]]^2)</f>
        <v>1.0044802558093497</v>
      </c>
    </row>
    <row r="608" spans="1:5" x14ac:dyDescent="0.3">
      <c r="A608" s="1">
        <f t="shared" si="9"/>
        <v>607</v>
      </c>
      <c r="B608" s="1">
        <v>1.0031862682167769</v>
      </c>
      <c r="C608" s="1">
        <v>-4.158490635512458E-2</v>
      </c>
      <c r="D608" s="1">
        <v>-1.8035330457845479E-2</v>
      </c>
      <c r="E608" s="2">
        <f>SQRT(horizons_results_fin_use___Copy__2[[#This Row],[X (Position in AU)]]^2+horizons_results_fin_use___Copy__2[[#This Row],[Y (Position in AU)]]^2+horizons_results_fin_use___Copy__2[[#This Row],[Z (Position in AU)]]^2)</f>
        <v>1.0042097720695569</v>
      </c>
    </row>
    <row r="609" spans="1:5" x14ac:dyDescent="0.3">
      <c r="A609" s="1">
        <f t="shared" si="9"/>
        <v>608</v>
      </c>
      <c r="B609" s="1">
        <v>1.003542497560991</v>
      </c>
      <c r="C609" s="1">
        <v>-2.587249641361682E-2</v>
      </c>
      <c r="D609" s="1">
        <v>-1.1224052404089181E-2</v>
      </c>
      <c r="E609" s="2">
        <f>SQRT(horizons_results_fin_use___Copy__2[[#This Row],[X (Position in AU)]]^2+horizons_results_fin_use___Copy__2[[#This Row],[Y (Position in AU)]]^2+horizons_results_fin_use___Copy__2[[#This Row],[Z (Position in AU)]]^2)</f>
        <v>1.0039386982450642</v>
      </c>
    </row>
    <row r="610" spans="1:5" x14ac:dyDescent="0.3">
      <c r="A610" s="1">
        <f t="shared" si="9"/>
        <v>609</v>
      </c>
      <c r="B610" s="1">
        <v>1.0036058288725569</v>
      </c>
      <c r="C610" s="1">
        <v>-1.0151113891684689E-2</v>
      </c>
      <c r="D610" s="1">
        <v>-4.4087395503010409E-3</v>
      </c>
      <c r="E610" s="2">
        <f>SQRT(horizons_results_fin_use___Copy__2[[#This Row],[X (Position in AU)]]^2+horizons_results_fin_use___Copy__2[[#This Row],[Y (Position in AU)]]^2+horizons_results_fin_use___Copy__2[[#This Row],[Z (Position in AU)]]^2)</f>
        <v>1.0036668480350621</v>
      </c>
    </row>
    <row r="611" spans="1:5" x14ac:dyDescent="0.3">
      <c r="A611" s="1">
        <f t="shared" si="9"/>
        <v>610</v>
      </c>
      <c r="B611" s="1">
        <v>1.003375617450736</v>
      </c>
      <c r="C611" s="1">
        <v>5.5747688528654908E-3</v>
      </c>
      <c r="D611" s="1">
        <v>2.4086480172491242E-3</v>
      </c>
      <c r="E611" s="2">
        <f>SQRT(horizons_results_fin_use___Copy__2[[#This Row],[X (Position in AU)]]^2+horizons_results_fin_use___Copy__2[[#This Row],[Y (Position in AU)]]^2+horizons_results_fin_use___Copy__2[[#This Row],[Z (Position in AU)]]^2)</f>
        <v>1.0033939950625974</v>
      </c>
    </row>
    <row r="612" spans="1:5" x14ac:dyDescent="0.3">
      <c r="A612" s="1">
        <f t="shared" si="9"/>
        <v>611</v>
      </c>
      <c r="B612" s="1">
        <v>1.0028512690315721</v>
      </c>
      <c r="C612" s="1">
        <v>2.1300585416900931E-2</v>
      </c>
      <c r="D612" s="1">
        <v>9.2261007593910389E-3</v>
      </c>
      <c r="E612" s="2">
        <f>SQRT(horizons_results_fin_use___Copy__2[[#This Row],[X (Position in AU)]]^2+horizons_results_fin_use___Copy__2[[#This Row],[Y (Position in AU)]]^2+horizons_results_fin_use___Copy__2[[#This Row],[Z (Position in AU)]]^2)</f>
        <v>1.0031198849950884</v>
      </c>
    </row>
    <row r="613" spans="1:5" x14ac:dyDescent="0.3">
      <c r="A613" s="1">
        <f t="shared" si="9"/>
        <v>612</v>
      </c>
      <c r="B613" s="1">
        <v>1.0020322655579399</v>
      </c>
      <c r="C613" s="1">
        <v>3.7021663871979492E-2</v>
      </c>
      <c r="D613" s="1">
        <v>1.6041555824261169E-2</v>
      </c>
      <c r="E613" s="2">
        <f>SQRT(horizons_results_fin_use___Copy__2[[#This Row],[X (Position in AU)]]^2+horizons_results_fin_use___Copy__2[[#This Row],[Y (Position in AU)]]^2+horizons_results_fin_use___Copy__2[[#This Row],[Z (Position in AU)]]^2)</f>
        <v>1.0028442532757968</v>
      </c>
    </row>
    <row r="614" spans="1:5" x14ac:dyDescent="0.3">
      <c r="A614" s="1">
        <f t="shared" si="9"/>
        <v>613</v>
      </c>
      <c r="B614" s="1">
        <v>1.0009181978424</v>
      </c>
      <c r="C614" s="1">
        <v>5.2733221773396559E-2</v>
      </c>
      <c r="D614" s="1">
        <v>2.2852896992728321E-2</v>
      </c>
      <c r="E614" s="2">
        <f>SQRT(horizons_results_fin_use___Copy__2[[#This Row],[X (Position in AU)]]^2+horizons_results_fin_use___Copy__2[[#This Row],[Y (Position in AU)]]^2+horizons_results_fin_use___Copy__2[[#This Row],[Z (Position in AU)]]^2)</f>
        <v>1.0025668488193893</v>
      </c>
    </row>
    <row r="615" spans="1:5" x14ac:dyDescent="0.3">
      <c r="A615" s="1">
        <f t="shared" si="9"/>
        <v>614</v>
      </c>
      <c r="B615" s="1">
        <v>0.99950880252428376</v>
      </c>
      <c r="C615" s="1">
        <v>6.84303716378524E-2</v>
      </c>
      <c r="D615" s="1">
        <v>2.96579602261808E-2</v>
      </c>
      <c r="E615" s="2">
        <f>SQRT(horizons_results_fin_use___Copy__2[[#This Row],[X (Position in AU)]]^2+horizons_results_fin_use___Copy__2[[#This Row],[Y (Position in AU)]]^2+horizons_results_fin_use___Copy__2[[#This Row],[Z (Position in AU)]]^2)</f>
        <v>1.0022874621039615</v>
      </c>
    </row>
    <row r="616" spans="1:5" x14ac:dyDescent="0.3">
      <c r="A616" s="1">
        <f t="shared" si="9"/>
        <v>615</v>
      </c>
      <c r="B616" s="1">
        <v>0.99780399758482041</v>
      </c>
      <c r="C616" s="1">
        <v>8.410813981779898E-2</v>
      </c>
      <c r="D616" s="1">
        <v>3.6454545840336888E-2</v>
      </c>
      <c r="E616" s="2">
        <f>SQRT(horizons_results_fin_use___Copy__2[[#This Row],[X (Position in AU)]]^2+horizons_results_fin_use___Copy__2[[#This Row],[Y (Position in AU)]]^2+horizons_results_fin_use___Copy__2[[#This Row],[Z (Position in AU)]]^2)</f>
        <v>1.0020059534215773</v>
      </c>
    </row>
    <row r="617" spans="1:5" x14ac:dyDescent="0.3">
      <c r="A617" s="1">
        <f t="shared" si="9"/>
        <v>616</v>
      </c>
      <c r="B617" s="1">
        <v>0.99580390858588053</v>
      </c>
      <c r="C617" s="1">
        <v>9.9761498402853588E-2</v>
      </c>
      <c r="D617" s="1">
        <v>4.3240436506588237E-2</v>
      </c>
      <c r="E617" s="2">
        <f>SQRT(horizons_results_fin_use___Copy__2[[#This Row],[X (Position in AU)]]^2+horizons_results_fin_use___Copy__2[[#This Row],[Y (Position in AU)]]^2+horizons_results_fin_use___Copy__2[[#This Row],[Z (Position in AU)]]^2)</f>
        <v>1.0017222750182706</v>
      </c>
    </row>
    <row r="618" spans="1:5" x14ac:dyDescent="0.3">
      <c r="A618" s="1">
        <f t="shared" si="9"/>
        <v>617</v>
      </c>
      <c r="B618" s="1">
        <v>0.99350887876845762</v>
      </c>
      <c r="C618" s="1">
        <v>0.1153854052459147</v>
      </c>
      <c r="D618" s="1">
        <v>5.0013418078271261E-2</v>
      </c>
      <c r="E618" s="2">
        <f>SQRT(horizons_results_fin_use___Copy__2[[#This Row],[X (Position in AU)]]^2+horizons_results_fin_use___Copy__2[[#This Row],[Y (Position in AU)]]^2+horizons_results_fin_use___Copy__2[[#This Row],[Z (Position in AU)]]^2)</f>
        <v>1.0014364812225454</v>
      </c>
    </row>
    <row r="619" spans="1:5" x14ac:dyDescent="0.3">
      <c r="A619" s="1">
        <f t="shared" si="9"/>
        <v>618</v>
      </c>
      <c r="B619" s="1">
        <v>0.99091946064560832</v>
      </c>
      <c r="C619" s="1">
        <v>0.13097484394222941</v>
      </c>
      <c r="D619" s="1">
        <v>5.6771298945736598E-2</v>
      </c>
      <c r="E619" s="2">
        <f>SQRT(horizons_results_fin_use___Copy__2[[#This Row],[X (Position in AU)]]^2+horizons_results_fin_use___Copy__2[[#This Row],[Y (Position in AU)]]^2+horizons_results_fin_use___Copy__2[[#This Row],[Z (Position in AU)]]^2)</f>
        <v>1.0011487240244881</v>
      </c>
    </row>
    <row r="620" spans="1:5" x14ac:dyDescent="0.3">
      <c r="A620" s="1">
        <f t="shared" si="9"/>
        <v>619</v>
      </c>
      <c r="B620" s="1">
        <v>0.98803639261425524</v>
      </c>
      <c r="C620" s="1">
        <v>0.1465248557714422</v>
      </c>
      <c r="D620" s="1">
        <v>6.351192417509767E-2</v>
      </c>
      <c r="E620" s="2">
        <f>SQRT(horizons_results_fin_use___Copy__2[[#This Row],[X (Position in AU)]]^2+horizons_results_fin_use___Copy__2[[#This Row],[Y (Position in AU)]]^2+horizons_results_fin_use___Copy__2[[#This Row],[Z (Position in AU)]]^2)</f>
        <v>1.0008592363571693</v>
      </c>
    </row>
    <row r="621" spans="1:5" x14ac:dyDescent="0.3">
      <c r="A621" s="1">
        <f t="shared" si="9"/>
        <v>620</v>
      </c>
      <c r="B621" s="1">
        <v>0.98486056808948375</v>
      </c>
      <c r="C621" s="1">
        <v>0.16203055914423059</v>
      </c>
      <c r="D621" s="1">
        <v>7.0233182772785785E-2</v>
      </c>
      <c r="E621" s="2">
        <f>SQRT(horizons_results_fin_use___Copy__2[[#This Row],[X (Position in AU)]]^2+horizons_results_fin_use___Copy__2[[#This Row],[Y (Position in AU)]]^2+horizons_results_fin_use___Copy__2[[#This Row],[Z (Position in AU)]]^2)</f>
        <v>1.0005683088308006</v>
      </c>
    </row>
    <row r="622" spans="1:5" x14ac:dyDescent="0.3">
      <c r="A622" s="1">
        <f t="shared" si="9"/>
        <v>621</v>
      </c>
      <c r="B622" s="1">
        <v>0.98139300495285375</v>
      </c>
      <c r="C622" s="1">
        <v>0.17748715668877441</v>
      </c>
      <c r="D622" s="1">
        <v>7.6933008751728801E-2</v>
      </c>
      <c r="E622" s="2">
        <f>SQRT(horizons_results_fin_use___Copy__2[[#This Row],[X (Position in AU)]]^2+horizons_results_fin_use___Copy__2[[#This Row],[Y (Position in AU)]]^2+horizons_results_fin_use___Copy__2[[#This Row],[Z (Position in AU)]]^2)</f>
        <v>1.000276266236209</v>
      </c>
    </row>
    <row r="623" spans="1:5" x14ac:dyDescent="0.3">
      <c r="A623" s="1">
        <f t="shared" si="9"/>
        <v>622</v>
      </c>
      <c r="B623" s="1">
        <v>0.97763482050789186</v>
      </c>
      <c r="C623" s="1">
        <v>0.19288993334186719</v>
      </c>
      <c r="D623" s="1">
        <v>8.3609378097388817E-2</v>
      </c>
      <c r="E623" s="2">
        <f>SQRT(horizons_results_fin_use___Copy__2[[#This Row],[X (Position in AU)]]^2+horizons_results_fin_use___Copy__2[[#This Row],[Y (Position in AU)]]^2+horizons_results_fin_use___Copy__2[[#This Row],[Z (Position in AU)]]^2)</f>
        <v>0.99998344824299967</v>
      </c>
    </row>
    <row r="624" spans="1:5" x14ac:dyDescent="0.3">
      <c r="A624" s="1">
        <f t="shared" si="9"/>
        <v>623</v>
      </c>
      <c r="B624" s="1">
        <v>0.97358721375161572</v>
      </c>
      <c r="C624" s="1">
        <v>0.20823424977554639</v>
      </c>
      <c r="D624" s="1">
        <v>9.026030395419378E-2</v>
      </c>
      <c r="E624" s="2">
        <f>SQRT(horizons_results_fin_use___Copy__2[[#This Row],[X (Position in AU)]]^2+horizons_results_fin_use___Copy__2[[#This Row],[Y (Position in AU)]]^2+horizons_results_fin_use___Copy__2[[#This Row],[Z (Position in AU)]]^2)</f>
        <v>0.99969019602581</v>
      </c>
    </row>
    <row r="625" spans="1:5" x14ac:dyDescent="0.3">
      <c r="A625" s="1">
        <f t="shared" si="9"/>
        <v>624</v>
      </c>
      <c r="B625" s="1">
        <v>0.9692514542136802</v>
      </c>
      <c r="C625" s="1">
        <v>0.22351553476362249</v>
      </c>
      <c r="D625" s="1">
        <v>9.6883831788068475E-2</v>
      </c>
      <c r="E625" s="2">
        <f>SQRT(horizons_results_fin_use___Copy__2[[#This Row],[X (Position in AU)]]^2+horizons_results_fin_use___Copy__2[[#This Row],[Y (Position in AU)]]^2+horizons_results_fin_use___Copy__2[[#This Row],[Z (Position in AU)]]^2)</f>
        <v>0.99939684442064392</v>
      </c>
    </row>
    <row r="626" spans="1:5" x14ac:dyDescent="0.3">
      <c r="A626" s="1">
        <f t="shared" si="9"/>
        <v>625</v>
      </c>
      <c r="B626" s="1">
        <v>0.96462887535916875</v>
      </c>
      <c r="C626" s="1">
        <v>0.2387292787037775</v>
      </c>
      <c r="D626" s="1">
        <v>0.1034780354842544</v>
      </c>
      <c r="E626" s="2">
        <f>SQRT(horizons_results_fin_use___Copy__2[[#This Row],[X (Position in AU)]]^2+horizons_results_fin_use___Copy__2[[#This Row],[Y (Position in AU)]]^2+horizons_results_fin_use___Copy__2[[#This Row],[Z (Position in AU)]]^2)</f>
        <v>0.99910371809677556</v>
      </c>
    </row>
    <row r="627" spans="1:5" x14ac:dyDescent="0.3">
      <c r="A627" s="1">
        <f t="shared" si="9"/>
        <v>626</v>
      </c>
      <c r="B627" s="1">
        <v>0.95972087031117559</v>
      </c>
      <c r="C627" s="1">
        <v>0.25387102919031301</v>
      </c>
      <c r="D627" s="1">
        <v>0.1100410146566569</v>
      </c>
      <c r="E627" s="2">
        <f>SQRT(horizons_results_fin_use___Copy__2[[#This Row],[X (Position in AU)]]^2+horizons_results_fin_use___Copy__2[[#This Row],[Y (Position in AU)]]^2+horizons_results_fin_use___Copy__2[[#This Row],[Z (Position in AU)]]^2)</f>
        <v>0.99881112993381072</v>
      </c>
    </row>
    <row r="628" spans="1:5" x14ac:dyDescent="0.3">
      <c r="A628" s="1">
        <f t="shared" si="9"/>
        <v>627</v>
      </c>
      <c r="B628" s="1">
        <v>0.95452888795913737</v>
      </c>
      <c r="C628" s="1">
        <v>0.26893638855401453</v>
      </c>
      <c r="D628" s="1">
        <v>0.1165708929771391</v>
      </c>
      <c r="E628" s="2">
        <f>SQRT(horizons_results_fin_use___Copy__2[[#This Row],[X (Position in AU)]]^2+horizons_results_fin_use___Copy__2[[#This Row],[Y (Position in AU)]]^2+horizons_results_fin_use___Copy__2[[#This Row],[Z (Position in AU)]]^2)</f>
        <v>0.99851937994536233</v>
      </c>
    </row>
    <row r="629" spans="1:5" x14ac:dyDescent="0.3">
      <c r="A629" s="1">
        <f t="shared" si="9"/>
        <v>628</v>
      </c>
      <c r="B629" s="1">
        <v>0.9490544280508425</v>
      </c>
      <c r="C629" s="1">
        <v>0.28392101263902048</v>
      </c>
      <c r="D629" s="1">
        <v>0.123065817050044</v>
      </c>
      <c r="E629" s="2">
        <f>SQRT(horizons_results_fin_use___Copy__2[[#This Row],[X (Position in AU)]]^2+horizons_results_fin_use___Copy__2[[#This Row],[Y (Position in AU)]]^2+horizons_results_fin_use___Copy__2[[#This Row],[Z (Position in AU)]]^2)</f>
        <v>0.99822875341630657</v>
      </c>
    </row>
    <row r="630" spans="1:5" x14ac:dyDescent="0.3">
      <c r="A630" s="1">
        <f t="shared" si="9"/>
        <v>629</v>
      </c>
      <c r="B630" s="1">
        <v>0.94329903448379793</v>
      </c>
      <c r="C630" s="1">
        <v>0.29882060968198521</v>
      </c>
      <c r="D630" s="1">
        <v>0.12952395520281071</v>
      </c>
      <c r="E630" s="2">
        <f>SQRT(horizons_results_fin_use___Copy__2[[#This Row],[X (Position in AU)]]^2+horizons_results_fin_use___Copy__2[[#This Row],[Y (Position in AU)]]^2+horizons_results_fin_use___Copy__2[[#This Row],[Z (Position in AU)]]^2)</f>
        <v>0.99793951730561226</v>
      </c>
    </row>
    <row r="631" spans="1:5" x14ac:dyDescent="0.3">
      <c r="A631" s="1">
        <f t="shared" si="9"/>
        <v>630</v>
      </c>
      <c r="B631" s="1">
        <v>0.93726428669635897</v>
      </c>
      <c r="C631" s="1">
        <v>0.31363093794641689</v>
      </c>
      <c r="D631" s="1">
        <v>0.1359434955111862</v>
      </c>
      <c r="E631" s="2">
        <f>SQRT(horizons_results_fin_use___Copy__2[[#This Row],[X (Position in AU)]]^2+horizons_results_fin_use___Copy__2[[#This Row],[Y (Position in AU)]]^2+horizons_results_fin_use___Copy__2[[#This Row],[Z (Position in AU)]]^2)</f>
        <v>0.99765191440972223</v>
      </c>
    </row>
    <row r="632" spans="1:5" x14ac:dyDescent="0.3">
      <c r="A632" s="1">
        <f t="shared" si="9"/>
        <v>631</v>
      </c>
      <c r="B632" s="1">
        <v>0.93095178980888116</v>
      </c>
      <c r="C632" s="1">
        <v>0.32834780077147502</v>
      </c>
      <c r="D632" s="1">
        <v>0.14232264244009671</v>
      </c>
      <c r="E632" s="2">
        <f>SQRT(horizons_results_fin_use___Copy__2[[#This Row],[X (Position in AU)]]^2+horizons_results_fin_use___Copy__2[[#This Row],[Y (Position in AU)]]^2+horizons_results_fin_use___Copy__2[[#This Row],[Z (Position in AU)]]^2)</f>
        <v>0.99736615531656936</v>
      </c>
    </row>
    <row r="633" spans="1:5" x14ac:dyDescent="0.3">
      <c r="A633" s="1">
        <f t="shared" si="9"/>
        <v>632</v>
      </c>
      <c r="B633" s="1">
        <v>0.92436316491060821</v>
      </c>
      <c r="C633" s="1">
        <v>0.34296703799409223</v>
      </c>
      <c r="D633" s="1">
        <v>0.148659611690242</v>
      </c>
      <c r="E633" s="2">
        <f>SQRT(horizons_results_fin_use___Copy__2[[#This Row],[X (Position in AU)]]^2+horizons_results_fin_use___Copy__2[[#This Row],[Y (Position in AU)]]^2+horizons_results_fin_use___Copy__2[[#This Row],[Z (Position in AU)]]^2)</f>
        <v>0.99708240880174537</v>
      </c>
    </row>
    <row r="634" spans="1:5" x14ac:dyDescent="0.3">
      <c r="A634" s="1">
        <f t="shared" si="9"/>
        <v>633</v>
      </c>
      <c r="B634" s="1">
        <v>0.91750004145654174</v>
      </c>
      <c r="C634" s="1">
        <v>0.35748451334151993</v>
      </c>
      <c r="D634" s="1">
        <v>0.15495262320484879</v>
      </c>
      <c r="E634" s="2">
        <f>SQRT(horizons_results_fin_use___Copy__2[[#This Row],[X (Position in AU)]]^2+horizons_results_fin_use___Copy__2[[#This Row],[Y (Position in AU)]]^2+horizons_results_fin_use___Copy__2[[#This Row],[Z (Position in AU)]]^2)</f>
        <v>0.99680079192878002</v>
      </c>
    </row>
    <row r="635" spans="1:5" x14ac:dyDescent="0.3">
      <c r="A635" s="1">
        <f t="shared" si="9"/>
        <v>634</v>
      </c>
      <c r="B635" s="1">
        <v>0.91036405390111752</v>
      </c>
      <c r="C635" s="1">
        <v>0.3718960982931897</v>
      </c>
      <c r="D635" s="1">
        <v>0.1611998927550036</v>
      </c>
      <c r="E635" s="2">
        <f>SQRT(horizons_results_fin_use___Copy__2[[#This Row],[X (Position in AU)]]^2+horizons_results_fin_use___Copy__2[[#This Row],[Y (Position in AU)]]^2+horizons_results_fin_use___Copy__2[[#This Row],[Z (Position in AU)]]^2)</f>
        <v>0.99652136152979653</v>
      </c>
    </row>
    <row r="636" spans="1:5" x14ac:dyDescent="0.3">
      <c r="A636" s="1">
        <f t="shared" si="9"/>
        <v>635</v>
      </c>
      <c r="B636" s="1">
        <v>0.90295684429871803</v>
      </c>
      <c r="C636" s="1">
        <v>0.38619765384091781</v>
      </c>
      <c r="D636" s="1">
        <v>0.1673996229557459</v>
      </c>
      <c r="E636" s="2">
        <f>SQRT(horizons_results_fin_use___Copy__2[[#This Row],[X (Position in AU)]]^2+horizons_results_fin_use___Copy__2[[#This Row],[Y (Position in AU)]]^2+horizons_results_fin_use___Copy__2[[#This Row],[Z (Position in AU)]]^2)</f>
        <v>0.99624410877247072</v>
      </c>
    </row>
    <row r="637" spans="1:5" x14ac:dyDescent="0.3">
      <c r="A637" s="1">
        <f t="shared" si="9"/>
        <v>636</v>
      </c>
      <c r="B637" s="1">
        <v>0.89528007171103252</v>
      </c>
      <c r="C637" s="1">
        <v>0.40038501221746442</v>
      </c>
      <c r="D637" s="1">
        <v>0.17354999481504321</v>
      </c>
      <c r="E637" s="2">
        <f>SQRT(horizons_results_fin_use___Copy__2[[#This Row],[X (Position in AU)]]^2+horizons_results_fin_use___Copy__2[[#This Row],[Y (Position in AU)]]^2+horizons_results_fin_use___Copy__2[[#This Row],[Z (Position in AU)]]^2)</f>
        <v>0.99596895810642216</v>
      </c>
    </row>
    <row r="638" spans="1:5" x14ac:dyDescent="0.3">
      <c r="A638" s="1">
        <f t="shared" si="9"/>
        <v>637</v>
      </c>
      <c r="B638" s="1">
        <v>0.88733542818999156</v>
      </c>
      <c r="C638" s="1">
        <v>0.41445396079710511</v>
      </c>
      <c r="D638" s="1">
        <v>0.1796491608993725</v>
      </c>
      <c r="E638" s="2">
        <f>SQRT(horizons_results_fin_use___Copy__2[[#This Row],[X (Position in AU)]]^2+horizons_results_fin_use___Copy__2[[#This Row],[Y (Position in AU)]]^2+horizons_results_fin_use___Copy__2[[#This Row],[Z (Position in AU)]]^2)</f>
        <v>0.99569577118383534</v>
      </c>
    </row>
    <row r="639" spans="1:5" x14ac:dyDescent="0.3">
      <c r="A639" s="1">
        <f t="shared" si="9"/>
        <v>638</v>
      </c>
      <c r="B639" s="1">
        <v>0.87912466024658231</v>
      </c>
      <c r="C639" s="1">
        <v>0.42840023003768468</v>
      </c>
      <c r="D639" s="1">
        <v>0.18569524096383561</v>
      </c>
      <c r="E639" s="2">
        <f>SQRT(horizons_results_fin_use___Copy__2[[#This Row],[X (Position in AU)]]^2+horizons_results_fin_use___Copy__2[[#This Row],[Y (Position in AU)]]^2+horizons_results_fin_use___Copy__2[[#This Row],[Z (Position in AU)]]^2)</f>
        <v>0.99542435567280896</v>
      </c>
    </row>
    <row r="640" spans="1:5" x14ac:dyDescent="0.3">
      <c r="A640" s="1">
        <f t="shared" si="9"/>
        <v>639</v>
      </c>
      <c r="B640" s="1">
        <v>0.87064959428654798</v>
      </c>
      <c r="C640" s="1">
        <v>0.4422194868160656</v>
      </c>
      <c r="D640" s="1">
        <v>0.1916863206007835</v>
      </c>
      <c r="E640" s="2">
        <f>SQRT(horizons_results_fin_use___Copy__2[[#This Row],[X (Position in AU)]]^2+horizons_results_fin_use___Copy__2[[#This Row],[Y (Position in AU)]]^2+horizons_results_fin_use___Copy__2[[#This Row],[Z (Position in AU)]]^2)</f>
        <v>0.99515447848897376</v>
      </c>
    </row>
    <row r="641" spans="1:5" x14ac:dyDescent="0.3">
      <c r="A641" s="1">
        <f t="shared" si="9"/>
        <v>640</v>
      </c>
      <c r="B641" s="1">
        <v>0.86191216437572327</v>
      </c>
      <c r="C641" s="1">
        <v>0.45590733413098739</v>
      </c>
      <c r="D641" s="1">
        <v>0.19762045326118749</v>
      </c>
      <c r="E641" s="2">
        <f>SQRT(horizons_results_fin_use___Copy__2[[#This Row],[X (Position in AU)]]^2+horizons_results_fin_use___Copy__2[[#This Row],[Y (Position in AU)]]^2+horizons_results_fin_use___Copy__2[[#This Row],[Z (Position in AU)]]^2)</f>
        <v>0.99488588288327062</v>
      </c>
    </row>
    <row r="642" spans="1:5" x14ac:dyDescent="0.3">
      <c r="A642" s="1">
        <f t="shared" si="9"/>
        <v>641</v>
      </c>
      <c r="B642" s="1">
        <v>0.85291444052853016</v>
      </c>
      <c r="C642" s="1">
        <v>0.46945931801161678</v>
      </c>
      <c r="D642" s="1">
        <v>0.20349566592026999</v>
      </c>
      <c r="E642" s="2">
        <f>SQRT(horizons_results_fin_use___Copy__2[[#This Row],[X (Position in AU)]]^2+horizons_results_fin_use___Copy__2[[#This Row],[Y (Position in AU)]]^2+horizons_results_fin_use___Copy__2[[#This Row],[Z (Position in AU)]]^2)</f>
        <v>0.9946183087890359</v>
      </c>
    </row>
    <row r="643" spans="1:5" x14ac:dyDescent="0.3">
      <c r="A643" s="1">
        <f t="shared" si="9"/>
        <v>642</v>
      </c>
      <c r="B643" s="1">
        <v>0.84365865518312</v>
      </c>
      <c r="C643" s="1">
        <v>0.48287094233324918</v>
      </c>
      <c r="D643" s="1">
        <v>0.2093099685476254</v>
      </c>
      <c r="E643" s="2">
        <f>SQRT(horizons_results_fin_use___Copy__2[[#This Row],[X (Position in AU)]]^2+horizons_results_fin_use___Copy__2[[#This Row],[Y (Position in AU)]]^2+horizons_results_fin_use___Copy__2[[#This Row],[Z (Position in AU)]]^2)</f>
        <v>0.99435151548564482</v>
      </c>
    </row>
    <row r="644" spans="1:5" x14ac:dyDescent="0.3">
      <c r="A644" s="1">
        <f t="shared" ref="A644:A707" si="10">A643+1</f>
        <v>643</v>
      </c>
      <c r="B644" s="1">
        <v>0.83414722470901059</v>
      </c>
      <c r="C644" s="1">
        <v>0.49613769164119031</v>
      </c>
      <c r="D644" s="1">
        <v>0.2150613671775011</v>
      </c>
      <c r="E644" s="2">
        <f>SQRT(horizons_results_fin_use___Copy__2[[#This Row],[X (Position in AU)]]^2+horizons_results_fin_use___Copy__2[[#This Row],[Y (Position in AU)]]^2+horizons_results_fin_use___Copy__2[[#This Row],[Z (Position in AU)]]^2)</f>
        <v>0.9940853047948397</v>
      </c>
    </row>
    <row r="645" spans="1:5" x14ac:dyDescent="0.3">
      <c r="A645" s="1">
        <f t="shared" si="10"/>
        <v>644</v>
      </c>
      <c r="B645" s="1">
        <v>0.82438276227358231</v>
      </c>
      <c r="C645" s="1">
        <v>0.50925506070193594</v>
      </c>
      <c r="D645" s="1">
        <v>0.22074787964505951</v>
      </c>
      <c r="E645" s="2">
        <f>SQRT(horizons_results_fin_use___Copy__2[[#This Row],[X (Position in AU)]]^2+horizons_results_fin_use___Copy__2[[#This Row],[Y (Position in AU)]]^2+horizons_results_fin_use___Copy__2[[#This Row],[Z (Position in AU)]]^2)</f>
        <v>0.99381954194518829</v>
      </c>
    </row>
    <row r="646" spans="1:5" x14ac:dyDescent="0.3">
      <c r="A646" s="1">
        <f t="shared" si="10"/>
        <v>645</v>
      </c>
      <c r="B646" s="1">
        <v>0.8143680789933726</v>
      </c>
      <c r="C646" s="1">
        <v>0.5222185875796358</v>
      </c>
      <c r="D646" s="1">
        <v>0.22636755214518389</v>
      </c>
      <c r="E646" s="2">
        <f>SQRT(horizons_results_fin_use___Copy__2[[#This Row],[X (Position in AU)]]^2+horizons_results_fin_use___Copy__2[[#This Row],[Y (Position in AU)]]^2+horizons_results_fin_use___Copy__2[[#This Row],[Z (Position in AU)]]^2)</f>
        <v>0.99355417062243179</v>
      </c>
    </row>
    <row r="647" spans="1:5" x14ac:dyDescent="0.3">
      <c r="A647" s="1">
        <f t="shared" si="10"/>
        <v>646</v>
      </c>
      <c r="B647" s="1">
        <v>0.80410617241288262</v>
      </c>
      <c r="C647" s="1">
        <v>0.53502388547616797</v>
      </c>
      <c r="D647" s="1">
        <v>0.231918474162227</v>
      </c>
      <c r="E647" s="2">
        <f>SQRT(horizons_results_fin_use___Copy__2[[#This Row],[X (Position in AU)]]^2+horizons_results_fin_use___Copy__2[[#This Row],[Y (Position in AU)]]^2+horizons_results_fin_use___Copy__2[[#This Row],[Z (Position in AU)]]^2)</f>
        <v>0.99328921931139869</v>
      </c>
    </row>
    <row r="648" spans="1:5" x14ac:dyDescent="0.3">
      <c r="A648" s="1">
        <f t="shared" si="10"/>
        <v>647</v>
      </c>
      <c r="B648" s="1">
        <v>0.79360020439636925</v>
      </c>
      <c r="C648" s="1">
        <v>0.54766666843049516</v>
      </c>
      <c r="D648" s="1">
        <v>0.2373987894910001</v>
      </c>
      <c r="E648" s="2">
        <f>SQRT(horizons_results_fin_use___Copy__2[[#This Row],[X (Position in AU)]]^2+horizons_results_fin_use___Copy__2[[#This Row],[Y (Position in AU)]]^2+horizons_results_fin_use___Copy__2[[#This Row],[Z (Position in AU)]]^2)</f>
        <v>0.99302479796806131</v>
      </c>
    </row>
    <row r="649" spans="1:5" x14ac:dyDescent="0.3">
      <c r="A649" s="1">
        <f t="shared" si="10"/>
        <v>648</v>
      </c>
      <c r="B649" s="1">
        <v>0.78285347308345077</v>
      </c>
      <c r="C649" s="1">
        <v>0.56014276761483017</v>
      </c>
      <c r="D649" s="1">
        <v>0.24280670209266059</v>
      </c>
      <c r="E649" s="2">
        <f>SQRT(horizons_results_fin_use___Copy__2[[#This Row],[X (Position in AU)]]^2+horizons_results_fin_use___Copy__2[[#This Row],[Y (Position in AU)]]^2+horizons_results_fin_use___Copy__2[[#This Row],[Z (Position in AU)]]^2)</f>
        <v>0.99276108657175755</v>
      </c>
    </row>
    <row r="650" spans="1:5" x14ac:dyDescent="0.3">
      <c r="A650" s="1">
        <f t="shared" si="10"/>
        <v>649</v>
      </c>
      <c r="B650" s="1">
        <v>0.77186938439550257</v>
      </c>
      <c r="C650" s="1">
        <v>0.57244813767238645</v>
      </c>
      <c r="D650" s="1">
        <v>0.24814047694581259</v>
      </c>
      <c r="E650" s="2">
        <f>SQRT(horizons_results_fin_use___Copy__2[[#This Row],[X (Position in AU)]]^2+horizons_results_fin_use___Copy__2[[#This Row],[Y (Position in AU)]]^2+horizons_results_fin_use___Copy__2[[#This Row],[Z (Position in AU)]]^2)</f>
        <v>0.9924983189862695</v>
      </c>
    </row>
    <row r="651" spans="1:5" x14ac:dyDescent="0.3">
      <c r="A651" s="1">
        <f t="shared" si="10"/>
        <v>650</v>
      </c>
      <c r="B651" s="1">
        <v>0.76065142748360637</v>
      </c>
      <c r="C651" s="1">
        <v>0.58457885501624363</v>
      </c>
      <c r="D651" s="1">
        <v>0.25339843719987898</v>
      </c>
      <c r="E651" s="2">
        <f>SQRT(horizons_results_fin_use___Copy__2[[#This Row],[X (Position in AU)]]^2+horizons_results_fin_use___Copy__2[[#This Row],[Y (Position in AU)]]^2+horizons_results_fin_use___Copy__2[[#This Row],[Z (Position in AU)]]^2)</f>
        <v>0.99223676601922561</v>
      </c>
    </row>
    <row r="652" spans="1:5" x14ac:dyDescent="0.3">
      <c r="A652" s="1">
        <f t="shared" si="10"/>
        <v>651</v>
      </c>
      <c r="B652" s="1">
        <v>0.74920315631995016</v>
      </c>
      <c r="C652" s="1">
        <v>0.59653111129895242</v>
      </c>
      <c r="D652" s="1">
        <v>0.25857895940684622</v>
      </c>
      <c r="E652" s="2">
        <f>SQRT(horizons_results_fin_use___Copy__2[[#This Row],[X (Position in AU)]]^2+horizons_results_fin_use___Copy__2[[#This Row],[Y (Position in AU)]]^2+horizons_results_fin_use___Copy__2[[#This Row],[Z (Position in AU)]]^2)</f>
        <v>0.99197672071236942</v>
      </c>
    </row>
    <row r="653" spans="1:5" x14ac:dyDescent="0.3">
      <c r="A653" s="1">
        <f t="shared" si="10"/>
        <v>652</v>
      </c>
      <c r="B653" s="1">
        <v>0.73752817747477084</v>
      </c>
      <c r="C653" s="1">
        <v>0.60830120524141063</v>
      </c>
      <c r="D653" s="1">
        <v>0.26368046842494941</v>
      </c>
      <c r="E653" s="2">
        <f>SQRT(horizons_results_fin_use___Copy__2[[#This Row],[X (Position in AU)]]^2+horizons_results_fin_use___Copy__2[[#This Row],[Y (Position in AU)]]^2+horizons_results_fin_use___Copy__2[[#This Row],[Z (Position in AU)]]^2)</f>
        <v>0.99171848742282231</v>
      </c>
    </row>
    <row r="654" spans="1:5" x14ac:dyDescent="0.3">
      <c r="A654" s="1">
        <f t="shared" si="10"/>
        <v>653</v>
      </c>
      <c r="B654" s="1">
        <v>0.72563014268668902</v>
      </c>
      <c r="C654" s="1">
        <v>0.6198855351551068</v>
      </c>
      <c r="D654" s="1">
        <v>0.26870143304767019</v>
      </c>
      <c r="E654" s="2">
        <f>SQRT(horizons_results_fin_use___Copy__2[[#This Row],[X (Position in AU)]]^2+horizons_results_fin_use___Copy__2[[#This Row],[Y (Position in AU)]]^2+horizons_results_fin_use___Copy__2[[#This Row],[Z (Position in AU)]]^2)</f>
        <v>0.99146237487456346</v>
      </c>
    </row>
    <row r="655" spans="1:5" x14ac:dyDescent="0.3">
      <c r="A655" s="1">
        <f t="shared" si="10"/>
        <v>654</v>
      </c>
      <c r="B655" s="1">
        <v>0.71351274423729771</v>
      </c>
      <c r="C655" s="1">
        <v>0.63128059338836551</v>
      </c>
      <c r="D655" s="1">
        <v>0.2736403628136429</v>
      </c>
      <c r="E655" s="2">
        <f>SQRT(horizons_results_fin_use___Copy__2[[#This Row],[X (Position in AU)]]^2+horizons_results_fin_use___Copy__2[[#This Row],[Y (Position in AU)]]^2+horizons_results_fin_use___Copy__2[[#This Row],[Z (Position in AU)]]^2)</f>
        <v>0.99120869242485388</v>
      </c>
    </row>
    <row r="656" spans="1:5" x14ac:dyDescent="0.3">
      <c r="A656" s="1">
        <f t="shared" si="10"/>
        <v>655</v>
      </c>
      <c r="B656" s="1">
        <v>0.70117971114895639</v>
      </c>
      <c r="C656" s="1">
        <v>0.64248296294252416</v>
      </c>
      <c r="D656" s="1">
        <v>0.27849580596291712</v>
      </c>
      <c r="E656" s="2">
        <f>SQRT(horizons_results_fin_use___Copy__2[[#This Row],[X (Position in AU)]]^2+horizons_results_fin_use___Copy__2[[#This Row],[Y (Position in AU)]]^2+horizons_results_fin_use___Copy__2[[#This Row],[Z (Position in AU)]]^2)</f>
        <v>0.99095774831083161</v>
      </c>
    </row>
    <row r="657" spans="1:5" x14ac:dyDescent="0.3">
      <c r="A657" s="1">
        <f t="shared" si="10"/>
        <v>656</v>
      </c>
      <c r="B657" s="1">
        <v>0.68863480456130077</v>
      </c>
      <c r="C657" s="1">
        <v>0.65348931574806435</v>
      </c>
      <c r="D657" s="1">
        <v>0.28326634815540819</v>
      </c>
      <c r="E657" s="2">
        <f>SQRT(horizons_results_fin_use___Copy__2[[#This Row],[X (Position in AU)]]^2+horizons_results_fin_use___Copy__2[[#This Row],[Y (Position in AU)]]^2+horizons_results_fin_use___Copy__2[[#This Row],[Z (Position in AU)]]^2)</f>
        <v>0.99070984846591448</v>
      </c>
    </row>
    <row r="658" spans="1:5" x14ac:dyDescent="0.3">
      <c r="A658" s="1">
        <f t="shared" si="10"/>
        <v>657</v>
      </c>
      <c r="B658" s="1">
        <v>0.67588181114627122</v>
      </c>
      <c r="C658" s="1">
        <v>0.66429641152638907</v>
      </c>
      <c r="D658" s="1">
        <v>0.28795061132717797</v>
      </c>
      <c r="E658" s="2">
        <f>SQRT(horizons_results_fin_use___Copy__2[[#This Row],[X (Position in AU)]]^2+horizons_results_fin_use___Copy__2[[#This Row],[Y (Position in AU)]]^2+horizons_results_fin_use___Copy__2[[#This Row],[Z (Position in AU)]]^2)</f>
        <v>0.99046529447976972</v>
      </c>
    </row>
    <row r="659" spans="1:5" x14ac:dyDescent="0.3">
      <c r="A659" s="1">
        <f t="shared" si="10"/>
        <v>658</v>
      </c>
      <c r="B659" s="1">
        <v>0.66292453407246343</v>
      </c>
      <c r="C659" s="1">
        <v>0.67490109573724733</v>
      </c>
      <c r="D659" s="1">
        <v>0.2925472519014396</v>
      </c>
      <c r="E659" s="2">
        <f>SQRT(horizons_results_fin_use___Copy__2[[#This Row],[X (Position in AU)]]^2+horizons_results_fin_use___Copy__2[[#This Row],[Y (Position in AU)]]^2+horizons_results_fin_use___Copy__2[[#This Row],[Z (Position in AU)]]^2)</f>
        <v>0.99022437936945085</v>
      </c>
    </row>
    <row r="660" spans="1:5" x14ac:dyDescent="0.3">
      <c r="A660" s="1">
        <f t="shared" si="10"/>
        <v>659</v>
      </c>
      <c r="B660" s="1">
        <v>0.64976678188406756</v>
      </c>
      <c r="C660" s="1">
        <v>0.68530029485079025</v>
      </c>
      <c r="D660" s="1">
        <v>0.29705495751126099</v>
      </c>
      <c r="E660" s="2">
        <f>SQRT(horizons_results_fin_use___Copy__2[[#This Row],[X (Position in AU)]]^2+horizons_results_fin_use___Copy__2[[#This Row],[Y (Position in AU)]]^2+horizons_results_fin_use___Copy__2[[#This Row],[Z (Position in AU)]]^2)</f>
        <v>0.98998738009359222</v>
      </c>
    </row>
    <row r="661" spans="1:5" x14ac:dyDescent="0.3">
      <c r="A661" s="1">
        <f t="shared" si="10"/>
        <v>660</v>
      </c>
      <c r="B661" s="1">
        <v>0.63641235674042385</v>
      </c>
      <c r="C661" s="1">
        <v>0.69549100723428692</v>
      </c>
      <c r="D661" s="1">
        <v>0.30147244150458191</v>
      </c>
      <c r="E661" s="2">
        <f>SQRT(horizons_results_fin_use___Copy__2[[#This Row],[X (Position in AU)]]^2+horizons_results_fin_use___Copy__2[[#This Row],[Y (Position in AU)]]^2+horizons_results_fin_use___Copy__2[[#This Row],[Z (Position in AU)]]^2)</f>
        <v>0.98975454631054716</v>
      </c>
    </row>
    <row r="662" spans="1:5" x14ac:dyDescent="0.3">
      <c r="A662" s="1">
        <f t="shared" si="10"/>
        <v>661</v>
      </c>
      <c r="B662" s="1">
        <v>0.62286504462054282</v>
      </c>
      <c r="C662" s="1">
        <v>0.70547028853751226</v>
      </c>
      <c r="D662" s="1">
        <v>0.30579843489150149</v>
      </c>
      <c r="E662" s="2">
        <f>SQRT(horizons_results_fin_use___Copy__2[[#This Row],[X (Position in AU)]]^2+horizons_results_fin_use___Copy__2[[#This Row],[Y (Position in AU)]]^2+horizons_results_fin_use___Copy__2[[#This Row],[Z (Position in AU)]]^2)</f>
        <v>0.98952608586203705</v>
      </c>
    </row>
    <row r="663" spans="1:5" x14ac:dyDescent="0.3">
      <c r="A663" s="1">
        <f t="shared" si="10"/>
        <v>662</v>
      </c>
      <c r="B663" s="1">
        <v>0.6091286109179177</v>
      </c>
      <c r="C663" s="1">
        <v>0.71523523175766079</v>
      </c>
      <c r="D663" s="1">
        <v>0.31003167610406202</v>
      </c>
      <c r="E663" s="2">
        <f>SQRT(horizons_results_fin_use___Copy__2[[#This Row],[X (Position in AU)]]^2+horizons_results_fin_use___Copy__2[[#This Row],[Y (Position in AU)]]^2+horizons_results_fin_use___Copy__2[[#This Row],[Z (Position in AU)]]^2)</f>
        <v>0.989302148776662</v>
      </c>
    </row>
    <row r="664" spans="1:5" x14ac:dyDescent="0.3">
      <c r="A664" s="1">
        <f t="shared" si="10"/>
        <v>663</v>
      </c>
      <c r="B664" s="1">
        <v>0.59520680473853049</v>
      </c>
      <c r="C664" s="1">
        <v>0.72478294400831222</v>
      </c>
      <c r="D664" s="1">
        <v>0.31417089984376978</v>
      </c>
      <c r="E664" s="2">
        <f>SQRT(horizons_results_fin_use___Copy__2[[#This Row],[X (Position in AU)]]^2+horizons_results_fin_use___Copy__2[[#This Row],[Y (Position in AU)]]^2+horizons_results_fin_use___Copy__2[[#This Row],[Z (Position in AU)]]^2)</f>
        <v>0.98908281283270272</v>
      </c>
    </row>
    <row r="665" spans="1:5" x14ac:dyDescent="0.3">
      <c r="A665" s="1">
        <f t="shared" si="10"/>
        <v>664</v>
      </c>
      <c r="B665" s="1">
        <v>0.58110337375265009</v>
      </c>
      <c r="C665" s="1">
        <v>0.73411052377900188</v>
      </c>
      <c r="D665" s="1">
        <v>0.3182148270461243</v>
      </c>
      <c r="E665" s="2">
        <f>SQRT(horizons_results_fin_use___Copy__2[[#This Row],[X (Position in AU)]]^2+horizons_results_fin_use___Copy__2[[#This Row],[Y (Position in AU)]]^2+horizons_results_fin_use___Copy__2[[#This Row],[Z (Position in AU)]]^2)</f>
        <v>0.98886807424539069</v>
      </c>
    </row>
    <row r="666" spans="1:5" x14ac:dyDescent="0.3">
      <c r="A666" s="1">
        <f t="shared" si="10"/>
        <v>665</v>
      </c>
      <c r="B666" s="1">
        <v>0.56682208887610708</v>
      </c>
      <c r="C666" s="1">
        <v>0.74321504325014143</v>
      </c>
      <c r="D666" s="1">
        <v>0.32216215816650329</v>
      </c>
      <c r="E666" s="2">
        <f>SQRT(horizons_results_fin_use___Copy__2[[#This Row],[X (Position in AU)]]^2+horizons_results_fin_use___Copy__2[[#This Row],[Y (Position in AU)]]^2+horizons_results_fin_use___Copy__2[[#This Row],[Z (Position in AU)]]^2)</f>
        <v>0.98865784632788001</v>
      </c>
    </row>
    <row r="667" spans="1:5" x14ac:dyDescent="0.3">
      <c r="A667" s="1">
        <f t="shared" si="10"/>
        <v>666</v>
      </c>
      <c r="B667" s="1">
        <v>0.55236677538386691</v>
      </c>
      <c r="C667" s="1">
        <v>0.75209353943697532</v>
      </c>
      <c r="D667" s="1">
        <v>0.32601157138053921</v>
      </c>
      <c r="E667" s="2">
        <f>SQRT(horizons_results_fin_use___Copy__2[[#This Row],[X (Position in AU)]]^2+horizons_results_fin_use___Copy__2[[#This Row],[Y (Position in AU)]]^2+horizons_results_fin_use___Copy__2[[#This Row],[Z (Position in AU)]]^2)</f>
        <v>0.98845196711060113</v>
      </c>
    </row>
    <row r="668" spans="1:5" x14ac:dyDescent="0.3">
      <c r="A668" s="1">
        <f t="shared" si="10"/>
        <v>667</v>
      </c>
      <c r="B668" s="1">
        <v>0.53774134552726982</v>
      </c>
      <c r="C668" s="1">
        <v>0.76074301584433313</v>
      </c>
      <c r="D668" s="1">
        <v>0.32976172612898802</v>
      </c>
      <c r="E668" s="2">
        <f>SQRT(horizons_results_fin_use___Copy__2[[#This Row],[X (Position in AU)]]^2+horizons_results_fin_use___Copy__2[[#This Row],[Y (Position in AU)]]^2+horizons_results_fin_use___Copy__2[[#This Row],[Z (Position in AU)]]^2)</f>
        <v>0.98825021470525343</v>
      </c>
    </row>
    <row r="669" spans="1:5" x14ac:dyDescent="0.3">
      <c r="A669" s="1">
        <f t="shared" si="10"/>
        <v>668</v>
      </c>
      <c r="B669" s="1">
        <v>0.52294982792561717</v>
      </c>
      <c r="C669" s="1">
        <v>0.76916045394490962</v>
      </c>
      <c r="D669" s="1">
        <v>0.33341127127790943</v>
      </c>
      <c r="E669" s="2">
        <f>SQRT(horizons_results_fin_use___Copy__2[[#This Row],[X (Position in AU)]]^2+horizons_results_fin_use___Copy__2[[#This Row],[Y (Position in AU)]]^2+horizons_results_fin_use___Copy__2[[#This Row],[Z (Position in AU)]]^2)</f>
        <v>0.9880523276908586</v>
      </c>
    </row>
    <row r="670" spans="1:5" x14ac:dyDescent="0.3">
      <c r="A670" s="1">
        <f t="shared" si="10"/>
        <v>669</v>
      </c>
      <c r="B670" s="1">
        <v>0.50799639048849776</v>
      </c>
      <c r="C670" s="1">
        <v>0.77734283219350575</v>
      </c>
      <c r="D670" s="1">
        <v>0.33695885649207108</v>
      </c>
      <c r="E670" s="2">
        <f>SQRT(horizons_results_fin_use___Copy__2[[#This Row],[X (Position in AU)]]^2+horizons_results_fin_use___Copy__2[[#This Row],[Y (Position in AU)]]^2+horizons_results_fin_use___Copy__2[[#This Row],[Z (Position in AU)]]^2)</f>
        <v>0.98785802749201124</v>
      </c>
    </row>
    <row r="671" spans="1:5" x14ac:dyDescent="0.3">
      <c r="A671" s="1">
        <f t="shared" si="10"/>
        <v>670</v>
      </c>
      <c r="B671" s="1">
        <v>0.49288535537392059</v>
      </c>
      <c r="C671" s="1">
        <v>0.78528714983412429</v>
      </c>
      <c r="D671" s="1">
        <v>0.34040314533583749</v>
      </c>
      <c r="E671" s="2">
        <f>SQRT(horizons_results_fin_use___Copy__2[[#This Row],[X (Position in AU)]]^2+horizons_results_fin_use___Copy__2[[#This Row],[Y (Position in AU)]]^2+horizons_results_fin_use___Copy__2[[#This Row],[Z (Position in AU)]]^2)</f>
        <v>0.98766704034872477</v>
      </c>
    </row>
    <row r="672" spans="1:5" x14ac:dyDescent="0.3">
      <c r="A672" s="1">
        <f t="shared" si="10"/>
        <v>671</v>
      </c>
      <c r="B672" s="1">
        <v>0.47762120569274352</v>
      </c>
      <c r="C672" s="1">
        <v>0.79299045308142202</v>
      </c>
      <c r="D672" s="1">
        <v>0.3437428288749565</v>
      </c>
      <c r="E672" s="2">
        <f>SQRT(horizons_results_fin_use___Copy__2[[#This Row],[X (Position in AU)]]^2+horizons_results_fin_use___Copy__2[[#This Row],[Y (Position in AU)]]^2+horizons_results_fin_use___Copy__2[[#This Row],[Z (Position in AU)]]^2)</f>
        <v>0.98747911735318572</v>
      </c>
    </row>
    <row r="673" spans="1:5" x14ac:dyDescent="0.3">
      <c r="A673" s="1">
        <f t="shared" si="10"/>
        <v>672</v>
      </c>
      <c r="B673" s="1">
        <v>0.46220858418022193</v>
      </c>
      <c r="C673" s="1">
        <v>0.80044986171940247</v>
      </c>
      <c r="D673" s="1">
        <v>0.3469766388234341</v>
      </c>
      <c r="E673" s="2">
        <f>SQRT(horizons_results_fin_use___Copy__2[[#This Row],[X (Position in AU)]]^2+horizons_results_fin_use___Copy__2[[#This Row],[Y (Position in AU)]]^2+horizons_results_fin_use___Copy__2[[#This Row],[Z (Position in AU)]]^2)</f>
        <v>0.98729405159035766</v>
      </c>
    </row>
    <row r="674" spans="1:5" x14ac:dyDescent="0.3">
      <c r="A674" s="1">
        <f t="shared" si="10"/>
        <v>673</v>
      </c>
      <c r="B674" s="1">
        <v>0.44665228424876491</v>
      </c>
      <c r="C674" s="1">
        <v>0.80766259434390253</v>
      </c>
      <c r="D674" s="1">
        <v>0.35010335938764969</v>
      </c>
      <c r="E674" s="2">
        <f>SQRT(horizons_results_fin_use___Copy__2[[#This Row],[X (Position in AU)]]^2+horizons_results_fin_use___Copy__2[[#This Row],[Y (Position in AU)]]^2+horizons_results_fin_use___Copy__2[[#This Row],[Z (Position in AU)]]^2)</f>
        <v>0.9871116915433028</v>
      </c>
    </row>
    <row r="675" spans="1:5" x14ac:dyDescent="0.3">
      <c r="A675" s="1">
        <f t="shared" si="10"/>
        <v>674</v>
      </c>
      <c r="B675" s="1">
        <v>0.43095723419241488</v>
      </c>
      <c r="C675" s="1">
        <v>0.81462599040863359</v>
      </c>
      <c r="D675" s="1">
        <v>0.35312183695772048</v>
      </c>
      <c r="E675" s="2">
        <f>SQRT(horizons_results_fin_use___Copy__2[[#This Row],[X (Position in AU)]]^2+horizons_results_fin_use___Copy__2[[#This Row],[Y (Position in AU)]]^2+horizons_results_fin_use___Copy__2[[#This Row],[Z (Position in AU)]]^2)</f>
        <v>0.98693194987720312</v>
      </c>
    </row>
    <row r="676" spans="1:5" x14ac:dyDescent="0.3">
      <c r="A676" s="1">
        <f t="shared" si="10"/>
        <v>675</v>
      </c>
      <c r="B676" s="1">
        <v>0.41512847602732073</v>
      </c>
      <c r="C676" s="1">
        <v>0.8213375272634168</v>
      </c>
      <c r="D676" s="1">
        <v>0.35603098687092122</v>
      </c>
      <c r="E676" s="2">
        <f>SQRT(horizons_results_fin_use___Copy__2[[#This Row],[X (Position in AU)]]^2+horizons_results_fin_use___Copy__2[[#This Row],[Y (Position in AU)]]^2+horizons_results_fin_use___Copy__2[[#This Row],[Z (Position in AU)]]^2)</f>
        <v>0.98675480688579964</v>
      </c>
    </row>
    <row r="677" spans="1:5" x14ac:dyDescent="0.3">
      <c r="A677" s="1">
        <f t="shared" si="10"/>
        <v>676</v>
      </c>
      <c r="B677" s="1">
        <v>0.39917114129850828</v>
      </c>
      <c r="C677" s="1">
        <v>0.82779483084676397</v>
      </c>
      <c r="D677" s="1">
        <v>0.35882979677762289</v>
      </c>
      <c r="E677" s="2">
        <f>SQRT(horizons_results_fin_use___Copy__2[[#This Row],[X (Position in AU)]]^2+horizons_results_fin_use___Copy__2[[#This Row],[Y (Position in AU)]]^2+horizons_results_fin_use___Copy__2[[#This Row],[Z (Position in AU)]]^2)</f>
        <v>0.98658030847855782</v>
      </c>
    </row>
    <row r="678" spans="1:5" x14ac:dyDescent="0.3">
      <c r="A678" s="1">
        <f t="shared" si="10"/>
        <v>677</v>
      </c>
      <c r="B678" s="1">
        <v>0.3830904266937239</v>
      </c>
      <c r="C678" s="1">
        <v>0.83399567967267463</v>
      </c>
      <c r="D678" s="1">
        <v>0.36151732666735092</v>
      </c>
      <c r="E678" s="2">
        <f>SQRT(horizons_results_fin_use___Copy__2[[#This Row],[X (Position in AU)]]^2+horizons_results_fin_use___Copy__2[[#This Row],[Y (Position in AU)]]^2+horizons_results_fin_use___Copy__2[[#This Row],[Z (Position in AU)]]^2)</f>
        <v>0.98640855948119899</v>
      </c>
    </row>
    <row r="679" spans="1:5" x14ac:dyDescent="0.3">
      <c r="A679" s="1">
        <f t="shared" si="10"/>
        <v>678</v>
      </c>
      <c r="B679" s="1">
        <v>0.36689157212046919</v>
      </c>
      <c r="C679" s="1">
        <v>0.83993800293619225</v>
      </c>
      <c r="D679" s="1">
        <v>0.36409270618419359</v>
      </c>
      <c r="E679" s="2">
        <f>SQRT(horizons_results_fin_use___Copy__2[[#This Row],[X (Position in AU)]]^2+horizons_results_fin_use___Copy__2[[#This Row],[Y (Position in AU)]]^2+horizons_results_fin_use___Copy__2[[#This Row],[Z (Position in AU)]]^2)</f>
        <v>0.98623971384547171</v>
      </c>
    </row>
    <row r="680" spans="1:5" x14ac:dyDescent="0.3">
      <c r="A680" s="1">
        <f t="shared" si="10"/>
        <v>679</v>
      </c>
      <c r="B680" s="1">
        <v>0.3505798430284966</v>
      </c>
      <c r="C680" s="1">
        <v>0.84561987449998699</v>
      </c>
      <c r="D680" s="1">
        <v>0.36655513025271957</v>
      </c>
      <c r="E680" s="2">
        <f>SQRT(horizons_results_fin_use___Copy__2[[#This Row],[X (Position in AU)]]^2+horizons_results_fin_use___Copy__2[[#This Row],[Y (Position in AU)]]^2+horizons_results_fin_use___Copy__2[[#This Row],[Z (Position in AU)]]^2)</f>
        <v>0.98607396375821998</v>
      </c>
    </row>
    <row r="681" spans="1:5" x14ac:dyDescent="0.3">
      <c r="A681" s="1">
        <f t="shared" si="10"/>
        <v>680</v>
      </c>
      <c r="B681" s="1">
        <v>0.33416051754213172</v>
      </c>
      <c r="C681" s="1">
        <v>0.8510395048983026</v>
      </c>
      <c r="D681" s="1">
        <v>0.36890385411965809</v>
      </c>
      <c r="E681" s="2">
        <f>SQRT(horizons_results_fin_use___Copy__2[[#This Row],[X (Position in AU)]]^2+horizons_results_fin_use___Copy__2[[#This Row],[Y (Position in AU)]]^2+horizons_results_fin_use___Copy__2[[#This Row],[Z (Position in AU)]]^2)</f>
        <v>0.98591152948219007</v>
      </c>
    </row>
    <row r="682" spans="1:5" x14ac:dyDescent="0.3">
      <c r="A682" s="1">
        <f t="shared" si="10"/>
        <v>681</v>
      </c>
      <c r="B682" s="1">
        <v>0.31763887784121891</v>
      </c>
      <c r="C682" s="1">
        <v>0.85619523327886282</v>
      </c>
      <c r="D682" s="1">
        <v>0.37113818871621851</v>
      </c>
      <c r="E682" s="2">
        <f>SQRT(horizons_results_fin_use___Copy__2[[#This Row],[X (Position in AU)]]^2+horizons_results_fin_use___Copy__2[[#This Row],[Y (Position in AU)]]^2+horizons_results_fin_use___Copy__2[[#This Row],[Z (Position in AU)]]^2)</f>
        <v>0.98575265119056643</v>
      </c>
    </row>
    <row r="683" spans="1:5" x14ac:dyDescent="0.3">
      <c r="A683" s="1">
        <f t="shared" si="10"/>
        <v>682</v>
      </c>
      <c r="B683" s="1">
        <v>0.30102020448170153</v>
      </c>
      <c r="C683" s="1">
        <v>0.86108552059738686</v>
      </c>
      <c r="D683" s="1">
        <v>0.37325749688362703</v>
      </c>
      <c r="E683" s="2">
        <f>SQRT(horizons_results_fin_use___Copy__2[[#This Row],[X (Position in AU)]]^2+horizons_results_fin_use___Copy__2[[#This Row],[Y (Position in AU)]]^2+horizons_results_fin_use___Copy__2[[#This Row],[Z (Position in AU)]]^2)</f>
        <v>0.98559758333130509</v>
      </c>
    </row>
    <row r="684" spans="1:5" x14ac:dyDescent="0.3">
      <c r="A684" s="1">
        <f t="shared" si="10"/>
        <v>683</v>
      </c>
      <c r="B684" s="1">
        <v>0.28430977203609098</v>
      </c>
      <c r="C684" s="1">
        <v>0.86570894463474757</v>
      </c>
      <c r="D684" s="1">
        <v>0.37526119060981838</v>
      </c>
      <c r="E684" s="2">
        <f>SQRT(horizons_results_fin_use___Copy__2[[#This Row],[X (Position in AU)]]^2+horizons_results_fin_use___Copy__2[[#This Row],[Y (Position in AU)]]^2+horizons_results_fin_use___Copy__2[[#This Row],[Z (Position in AU)]]^2)</f>
        <v>0.98544659138571322</v>
      </c>
    </row>
    <row r="685" spans="1:5" x14ac:dyDescent="0.3">
      <c r="A685" s="1">
        <f t="shared" si="10"/>
        <v>684</v>
      </c>
      <c r="B685" s="1">
        <v>0.2675128444724319</v>
      </c>
      <c r="C685" s="1">
        <v>0.87006419669221002</v>
      </c>
      <c r="D685" s="1">
        <v>0.37714872907460578</v>
      </c>
      <c r="E685" s="2">
        <f>SQRT(horizons_results_fin_use___Copy__2[[#This Row],[X (Position in AU)]]^2+horizons_results_fin_use___Copy__2[[#This Row],[Y (Position in AU)]]^2+horizons_results_fin_use___Copy__2[[#This Row],[Z (Position in AU)]]^2)</f>
        <v>0.98529995035318185</v>
      </c>
    </row>
    <row r="686" spans="1:5" x14ac:dyDescent="0.3">
      <c r="A686" s="1">
        <f t="shared" si="10"/>
        <v>685</v>
      </c>
      <c r="B686" s="1">
        <v>0.25063466897041381</v>
      </c>
      <c r="C686" s="1">
        <v>0.87415007918961307</v>
      </c>
      <c r="D686" s="1">
        <v>0.37891961701203541</v>
      </c>
      <c r="E686" s="2">
        <f>SQRT(horizons_results_fin_use___Copy__2[[#This Row],[X (Position in AU)]]^2+horizons_results_fin_use___Copy__2[[#This Row],[Y (Position in AU)]]^2+horizons_results_fin_use___Copy__2[[#This Row],[Z (Position in AU)]]^2)</f>
        <v>0.98515794388192568</v>
      </c>
    </row>
    <row r="687" spans="1:5" x14ac:dyDescent="0.3">
      <c r="A687" s="1">
        <f t="shared" si="10"/>
        <v>686</v>
      </c>
      <c r="B687" s="1">
        <v>0.23368046735997661</v>
      </c>
      <c r="C687" s="1">
        <v>0.87796550283228325</v>
      </c>
      <c r="D687" s="1">
        <v>0.38057340266322381</v>
      </c>
      <c r="E687" s="2">
        <f>SQRT(horizons_results_fin_use___Copy__2[[#This Row],[X (Position in AU)]]^2+horizons_results_fin_use___Copy__2[[#This Row],[Y (Position in AU)]]^2+horizons_results_fin_use___Copy__2[[#This Row],[Z (Position in AU)]]^2)</f>
        <v>0.98502086262362254</v>
      </c>
    </row>
    <row r="688" spans="1:5" x14ac:dyDescent="0.3">
      <c r="A688" s="1">
        <f t="shared" si="10"/>
        <v>687</v>
      </c>
      <c r="B688" s="1">
        <v>0.2166554251230384</v>
      </c>
      <c r="C688" s="1">
        <v>0.88150948153629849</v>
      </c>
      <c r="D688" s="1">
        <v>0.3821096744216651</v>
      </c>
      <c r="E688" s="2">
        <f>SQRT(horizons_results_fin_use___Copy__2[[#This Row],[X (Position in AU)]]^2+horizons_results_fin_use___Copy__2[[#This Row],[Y (Position in AU)]]^2+horizons_results_fin_use___Copy__2[[#This Row],[Z (Position in AU)]]^2)</f>
        <v>0.98488900012147007</v>
      </c>
    </row>
    <row r="689" spans="1:5" x14ac:dyDescent="0.3">
      <c r="A689" s="1">
        <f t="shared" si="10"/>
        <v>688</v>
      </c>
      <c r="B689" s="1">
        <v>0.19956467902867489</v>
      </c>
      <c r="C689" s="1">
        <v>0.88478112303609857</v>
      </c>
      <c r="D689" s="1">
        <v>0.38352805523792088</v>
      </c>
      <c r="E689" s="2">
        <f>SQRT(horizons_results_fin_use___Copy__2[[#This Row],[X (Position in AU)]]^2+horizons_results_fin_use___Copy__2[[#This Row],[Y (Position in AU)]]^2+horizons_results_fin_use___Copy__2[[#This Row],[Z (Position in AU)]]^2)</f>
        <v>0.98476264447399686</v>
      </c>
    </row>
    <row r="690" spans="1:5" x14ac:dyDescent="0.3">
      <c r="A690" s="1">
        <f t="shared" si="10"/>
        <v>689</v>
      </c>
      <c r="B690" s="1">
        <v>0.18241330597778599</v>
      </c>
      <c r="C690" s="1">
        <v>0.88777961335233235</v>
      </c>
      <c r="D690" s="1">
        <v>0.38482819410420571</v>
      </c>
      <c r="E690" s="2">
        <f>SQRT(horizons_results_fin_use___Copy__2[[#This Row],[X (Position in AU)]]^2+horizons_results_fin_use___Copy__2[[#This Row],[Y (Position in AU)]]^2+horizons_results_fin_use___Copy__2[[#This Row],[Z (Position in AU)]]^2)</f>
        <v>0.98464206443725844</v>
      </c>
    </row>
    <row r="691" spans="1:5" x14ac:dyDescent="0.3">
      <c r="A691" s="1">
        <f t="shared" si="10"/>
        <v>690</v>
      </c>
      <c r="B691" s="1">
        <v>0.16520631717787901</v>
      </c>
      <c r="C691" s="1">
        <v>0.89050419449381668</v>
      </c>
      <c r="D691" s="1">
        <v>0.38600975466145199</v>
      </c>
      <c r="E691" s="2">
        <f>SQRT(horizons_results_fin_use___Copy__2[[#This Row],[X (Position in AU)]]^2+horizons_results_fin_use___Copy__2[[#This Row],[Y (Position in AU)]]^2+horizons_results_fin_use___Copy__2[[#This Row],[Z (Position in AU)]]^2)</f>
        <v>0.98452748988555605</v>
      </c>
    </row>
    <row r="692" spans="1:5" x14ac:dyDescent="0.3">
      <c r="A692" s="1">
        <f t="shared" si="10"/>
        <v>691</v>
      </c>
      <c r="B692" s="1">
        <v>0.1479486625014351</v>
      </c>
      <c r="C692" s="1">
        <v>0.89295413713171734</v>
      </c>
      <c r="D692" s="1">
        <v>0.38707240220098998</v>
      </c>
      <c r="E692" s="2">
        <f>SQRT(horizons_results_fin_use___Copy__2[[#This Row],[X (Position in AU)]]^2+horizons_results_fin_use___Copy__2[[#This Row],[Y (Position in AU)]]^2+horizons_results_fin_use___Copy__2[[#This Row],[Z (Position in AU)]]^2)</f>
        <v>0.98441908875349338</v>
      </c>
    </row>
    <row r="693" spans="1:5" x14ac:dyDescent="0.3">
      <c r="A693" s="1">
        <f t="shared" si="10"/>
        <v>692</v>
      </c>
      <c r="B693" s="1">
        <v>0.1306452486659514</v>
      </c>
      <c r="C693" s="1">
        <v>0.89512871301998986</v>
      </c>
      <c r="D693" s="1">
        <v>0.38801579172792922</v>
      </c>
      <c r="E693" s="2">
        <f>SQRT(horizons_results_fin_use___Copy__2[[#This Row],[X (Position in AU)]]^2+horizons_results_fin_use___Copy__2[[#This Row],[Y (Position in AU)]]^2+horizons_results_fin_use___Copy__2[[#This Row],[Z (Position in AU)]]^2)</f>
        <v>0.984316945146259</v>
      </c>
    </row>
    <row r="694" spans="1:5" x14ac:dyDescent="0.3">
      <c r="A694" s="1">
        <f t="shared" si="10"/>
        <v>693</v>
      </c>
      <c r="B694" s="1">
        <v>0.1133009711795734</v>
      </c>
      <c r="C694" s="1">
        <v>0.89702717414440802</v>
      </c>
      <c r="D694" s="1">
        <v>0.38883956052833218</v>
      </c>
      <c r="E694" s="2">
        <f>SQRT(horizons_results_fin_use___Copy__2[[#This Row],[X (Position in AU)]]^2+horizons_results_fin_use___Copy__2[[#This Row],[Y (Position in AU)]]^2+horizons_results_fin_use___Copy__2[[#This Row],[Z (Position in AU)]]^2)</f>
        <v>0.9842210448144274</v>
      </c>
    </row>
    <row r="695" spans="1:5" x14ac:dyDescent="0.3">
      <c r="A695" s="1">
        <f t="shared" si="10"/>
        <v>694</v>
      </c>
      <c r="B695" s="1">
        <v>9.5920754964065269E-2</v>
      </c>
      <c r="C695" s="1">
        <v>0.89864874514334303</v>
      </c>
      <c r="D695" s="1">
        <v>0.38954332803622699</v>
      </c>
      <c r="E695" s="2">
        <f>SQRT(horizons_results_fin_use___Copy__2[[#This Row],[X (Position in AU)]]^2+horizons_results_fin_use___Copy__2[[#This Row],[Y (Position in AU)]]^2+horizons_results_fin_use___Copy__2[[#This Row],[Z (Position in AU)]]^2)</f>
        <v>0.98413127315319116</v>
      </c>
    </row>
    <row r="696" spans="1:5" x14ac:dyDescent="0.3">
      <c r="A696" s="1">
        <f t="shared" si="10"/>
        <v>695</v>
      </c>
      <c r="B696" s="1">
        <v>7.8509594900681642E-2</v>
      </c>
      <c r="C696" s="1">
        <v>0.89999263191159962</v>
      </c>
      <c r="D696" s="1">
        <v>0.39012670369081348</v>
      </c>
      <c r="E696" s="2">
        <f>SQRT(horizons_results_fin_use___Copy__2[[#This Row],[X (Position in AU)]]^2+horizons_results_fin_use___Copy__2[[#This Row],[Y (Position in AU)]]^2+horizons_results_fin_use___Copy__2[[#This Row],[Z (Position in AU)]]^2)</f>
        <v>0.9840474271696954</v>
      </c>
    </row>
    <row r="697" spans="1:5" x14ac:dyDescent="0.3">
      <c r="A697" s="1">
        <f t="shared" si="10"/>
        <v>696</v>
      </c>
      <c r="B697" s="1">
        <v>6.1072587582533117E-2</v>
      </c>
      <c r="C697" s="1">
        <v>0.9010580441849152</v>
      </c>
      <c r="D697" s="1">
        <v>0.39058930095268463</v>
      </c>
      <c r="E697" s="2">
        <f>SQRT(horizons_results_fin_use___Copy__2[[#This Row],[X (Position in AU)]]^2+horizons_results_fin_use___Copy__2[[#This Row],[Y (Position in AU)]]^2+horizons_results_fin_use___Copy__2[[#This Row],[Z (Position in AU)]]^2)</f>
        <v>0.98396923832154304</v>
      </c>
    </row>
    <row r="698" spans="1:5" x14ac:dyDescent="0.3">
      <c r="A698" s="1">
        <f t="shared" si="10"/>
        <v>697</v>
      </c>
      <c r="B698" s="1">
        <v>4.3614949183648402E-2</v>
      </c>
      <c r="C698" s="1">
        <v>0.90184422615902504</v>
      </c>
      <c r="D698" s="1">
        <v>0.39093075410850192</v>
      </c>
      <c r="E698" s="2">
        <f>SQRT(horizons_results_fin_use___Copy__2[[#This Row],[X (Position in AU)]]^2+horizons_results_fin_use___Copy__2[[#This Row],[Y (Position in AU)]]^2+horizons_results_fin_use___Copy__2[[#This Row],[Z (Position in AU)]]^2)</f>
        <v>0.98389640031687531</v>
      </c>
    </row>
    <row r="699" spans="1:5" x14ac:dyDescent="0.3">
      <c r="A699" s="1">
        <f t="shared" si="10"/>
        <v>698</v>
      </c>
      <c r="B699" s="1">
        <v>2.61420191341891E-2</v>
      </c>
      <c r="C699" s="1">
        <v>0.90235048850904265</v>
      </c>
      <c r="D699" s="1">
        <v>0.39115073456082688</v>
      </c>
      <c r="E699" s="2">
        <f>SQRT(horizons_results_fin_use___Copy__2[[#This Row],[X (Position in AU)]]^2+horizons_results_fin_use___Copy__2[[#This Row],[Y (Position in AU)]]^2+horizons_results_fin_use___Copy__2[[#This Row],[Z (Position in AU)]]^2)</f>
        <v>0.9838285960594938</v>
      </c>
    </row>
    <row r="700" spans="1:5" x14ac:dyDescent="0.3">
      <c r="A700" s="1">
        <f t="shared" si="10"/>
        <v>699</v>
      </c>
      <c r="B700" s="1">
        <v>8.6592526493861934E-3</v>
      </c>
      <c r="C700" s="1">
        <v>0.90257623701391076</v>
      </c>
      <c r="D700" s="1">
        <v>0.39124896449366647</v>
      </c>
      <c r="E700" s="2">
        <f>SQRT(horizons_results_fin_use___Copy__2[[#This Row],[X (Position in AU)]]^2+horizons_results_fin_use___Copy__2[[#This Row],[Y (Position in AU)]]^2+horizons_results_fin_use___Copy__2[[#This Row],[Z (Position in AU)]]^2)</f>
        <v>0.98376552007884654</v>
      </c>
    </row>
    <row r="701" spans="1:5" x14ac:dyDescent="0.3">
      <c r="A701" s="1">
        <f t="shared" si="10"/>
        <v>700</v>
      </c>
      <c r="B701" s="1">
        <v>-8.8277938401661663E-3</v>
      </c>
      <c r="C701" s="1">
        <v>0.90252099560830334</v>
      </c>
      <c r="D701" s="1">
        <v>0.3912252271816879</v>
      </c>
      <c r="E701" s="2">
        <f>SQRT(horizons_results_fin_use___Copy__2[[#This Row],[X (Position in AU)]]^2+horizons_results_fin_use___Copy__2[[#This Row],[Y (Position in AU)]]^2+horizons_results_fin_use___Copy__2[[#This Row],[Z (Position in AU)]]^2)</f>
        <v>0.98370689529008126</v>
      </c>
    </row>
    <row r="702" spans="1:5" x14ac:dyDescent="0.3">
      <c r="A702" s="1">
        <f t="shared" si="10"/>
        <v>701</v>
      </c>
      <c r="B702" s="1">
        <v>-2.6313481015072401E-2</v>
      </c>
      <c r="C702" s="1">
        <v>0.90218442365127638</v>
      </c>
      <c r="D702" s="1">
        <v>0.39107937412215199</v>
      </c>
      <c r="E702" s="2">
        <f>SQRT(horizons_results_fin_use___Copy__2[[#This Row],[X (Position in AU)]]^2+horizons_results_fin_use___Copy__2[[#This Row],[Y (Position in AU)]]^2+horizons_results_fin_use___Copy__2[[#This Row],[Z (Position in AU)]]^2)</f>
        <v>0.9836524845827872</v>
      </c>
    </row>
    <row r="703" spans="1:5" x14ac:dyDescent="0.3">
      <c r="A703" s="1">
        <f t="shared" si="10"/>
        <v>702</v>
      </c>
      <c r="B703" s="1">
        <v>-4.379210665666404E-2</v>
      </c>
      <c r="C703" s="1">
        <v>0.9015663280686681</v>
      </c>
      <c r="D703" s="1">
        <v>0.39081132949106501</v>
      </c>
      <c r="E703" s="2">
        <f>SQRT(horizons_results_fin_use___Copy__2[[#This Row],[X (Position in AU)]]^2+horizons_results_fin_use___Copy__2[[#This Row],[Y (Position in AU)]]^2+horizons_results_fin_use___Copy__2[[#This Row],[Z (Position in AU)]]^2)</f>
        <v>0.98360209829545586</v>
      </c>
    </row>
    <row r="704" spans="1:5" x14ac:dyDescent="0.3">
      <c r="A704" s="1">
        <f t="shared" si="10"/>
        <v>703</v>
      </c>
      <c r="B704" s="1">
        <v>-6.1257926169534953E-2</v>
      </c>
      <c r="C704" s="1">
        <v>0.90066667107562415</v>
      </c>
      <c r="D704" s="1">
        <v>0.39042109236794931</v>
      </c>
      <c r="E704" s="2">
        <f>SQRT(horizons_results_fin_use___Copy__2[[#This Row],[X (Position in AU)]]^2+horizons_results_fin_use___Copy__2[[#This Row],[Y (Position in AU)]]^2+horizons_results_fin_use___Copy__2[[#This Row],[Z (Position in AU)]]^2)</f>
        <v>0.98355559846448004</v>
      </c>
    </row>
    <row r="705" spans="1:5" x14ac:dyDescent="0.3">
      <c r="A705" s="1">
        <f t="shared" si="10"/>
        <v>704</v>
      </c>
      <c r="B705" s="1">
        <v>-7.8705172919672495E-2</v>
      </c>
      <c r="C705" s="1">
        <v>0.89948557392748463</v>
      </c>
      <c r="D705" s="1">
        <v>0.38990873701184098</v>
      </c>
      <c r="E705" s="2">
        <f>SQRT(horizons_results_fin_use___Copy__2[[#This Row],[X (Position in AU)]]^2+horizons_results_fin_use___Copy__2[[#This Row],[Y (Position in AU)]]^2+horizons_results_fin_use___Copy__2[[#This Row],[Z (Position in AU)]]^2)</f>
        <v>0.98351290034556282</v>
      </c>
    </row>
    <row r="706" spans="1:5" x14ac:dyDescent="0.3">
      <c r="A706" s="1">
        <f t="shared" si="10"/>
        <v>705</v>
      </c>
      <c r="B706" s="1">
        <v>-9.6128077669418999E-2</v>
      </c>
      <c r="C706" s="1">
        <v>0.89802331698064841</v>
      </c>
      <c r="D706" s="1">
        <v>0.38927441138976032</v>
      </c>
      <c r="E706" s="2">
        <f>SQRT(horizons_results_fin_use___Copy__2[[#This Row],[X (Position in AU)]]^2+horizons_results_fin_use___Copy__2[[#This Row],[Y (Position in AU)]]^2+horizons_results_fin_use___Copy__2[[#This Row],[Z (Position in AU)]]^2)</f>
        <v>0.98347397145028104</v>
      </c>
    </row>
    <row r="707" spans="1:5" x14ac:dyDescent="0.3">
      <c r="A707" s="1">
        <f t="shared" si="10"/>
        <v>706</v>
      </c>
      <c r="B707" s="1">
        <v>-0.11352088627577341</v>
      </c>
      <c r="C707" s="1">
        <v>0.89628033643237814</v>
      </c>
      <c r="D707" s="1">
        <v>0.38851833421233378</v>
      </c>
      <c r="E707" s="2">
        <f>SQRT(horizons_results_fin_use___Copy__2[[#This Row],[X (Position in AU)]]^2+horizons_results_fin_use___Copy__2[[#This Row],[Y (Position in AU)]]^2+horizons_results_fin_use___Copy__2[[#This Row],[Z (Position in AU)]]^2)</f>
        <v>0.98343882835451468</v>
      </c>
    </row>
    <row r="708" spans="1:5" x14ac:dyDescent="0.3">
      <c r="A708" s="1">
        <f t="shared" ref="A708:A771" si="11">A707+1</f>
        <v>707</v>
      </c>
      <c r="B708" s="1">
        <v>-0.13087787485398911</v>
      </c>
      <c r="C708" s="1">
        <v>0.89425721839247074</v>
      </c>
      <c r="D708" s="1">
        <v>0.38764079086855219</v>
      </c>
      <c r="E708" s="2">
        <f>SQRT(horizons_results_fin_use___Copy__2[[#This Row],[X (Position in AU)]]^2+horizons_results_fin_use___Copy__2[[#This Row],[Y (Position in AU)]]^2+horizons_results_fin_use___Copy__2[[#This Row],[Z (Position in AU)]]^2)</f>
        <v>0.98340753175808659</v>
      </c>
    </row>
    <row r="709" spans="1:5" x14ac:dyDescent="0.3">
      <c r="A709" s="1">
        <f t="shared" si="11"/>
        <v>708</v>
      </c>
      <c r="B709" s="1">
        <v>-0.14819336190367921</v>
      </c>
      <c r="C709" s="1">
        <v>0.89195469124129556</v>
      </c>
      <c r="D709" s="1">
        <v>0.3866421287750641</v>
      </c>
      <c r="E709" s="2">
        <f>SQRT(horizons_results_fin_use___Copy__2[[#This Row],[X (Position in AU)]]^2+horizons_results_fin_use___Copy__2[[#This Row],[Y (Position in AU)]]^2+horizons_results_fin_use___Copy__2[[#This Row],[Z (Position in AU)]]^2)</f>
        <v>0.98338018054228804</v>
      </c>
    </row>
    <row r="710" spans="1:5" x14ac:dyDescent="0.3">
      <c r="A710" s="1">
        <f t="shared" si="11"/>
        <v>709</v>
      </c>
      <c r="B710" s="1">
        <v>-0.16546171738996079</v>
      </c>
      <c r="C710" s="1">
        <v>0.88937361737042198</v>
      </c>
      <c r="D710" s="1">
        <v>0.38552275268251318</v>
      </c>
      <c r="E710" s="2">
        <f>SQRT(horizons_results_fin_use___Copy__2[[#This Row],[X (Position in AU)]]^2+horizons_results_fin_use___Copy__2[[#This Row],[Y (Position in AU)]]^2+horizons_results_fin_use___Copy__2[[#This Row],[Z (Position in AU)]]^2)</f>
        <v>0.98335690572247836</v>
      </c>
    </row>
    <row r="711" spans="1:5" x14ac:dyDescent="0.3">
      <c r="A711" s="1">
        <f t="shared" si="11"/>
        <v>710</v>
      </c>
      <c r="B711" s="1">
        <v>-0.18267736930937961</v>
      </c>
      <c r="C711" s="1">
        <v>0.88651498529679484</v>
      </c>
      <c r="D711" s="1">
        <v>0.384283120382935</v>
      </c>
      <c r="E711" s="2">
        <f>SQRT(horizons_results_fin_use___Copy__2[[#This Row],[X (Position in AU)]]^2+horizons_results_fin_use___Copy__2[[#This Row],[Y (Position in AU)]]^2+horizons_results_fin_use___Copy__2[[#This Row],[Z (Position in AU)]]^2)</f>
        <v>0.98333786514341914</v>
      </c>
    </row>
    <row r="712" spans="1:5" x14ac:dyDescent="0.3">
      <c r="A712" s="1">
        <f t="shared" si="11"/>
        <v>711</v>
      </c>
      <c r="B712" s="1">
        <v>-0.1998348086929084</v>
      </c>
      <c r="C712" s="1">
        <v>0.88337990280851431</v>
      </c>
      <c r="D712" s="1">
        <v>0.38292373906120819</v>
      </c>
      <c r="E712" s="2">
        <f>SQRT(horizons_results_fin_use___Copy__2[[#This Row],[X (Position in AU)]]^2+horizons_results_fin_use___Copy__2[[#This Row],[Y (Position in AU)]]^2+horizons_results_fin_use___Copy__2[[#This Row],[Z (Position in AU)]]^2)</f>
        <v>0.9833232395239766</v>
      </c>
    </row>
    <row r="713" spans="1:5" x14ac:dyDescent="0.3">
      <c r="A713" s="1">
        <f t="shared" si="11"/>
        <v>712</v>
      </c>
      <c r="B713" s="1">
        <v>-0.21692859421520011</v>
      </c>
      <c r="C713" s="1">
        <v>0.87996959131954344</v>
      </c>
      <c r="D713" s="1">
        <v>0.38144516227736353</v>
      </c>
      <c r="E713" s="2">
        <f>SQRT(horizons_results_fin_use___Copy__2[[#This Row],[X (Position in AU)]]^2+horizons_results_fin_use___Copy__2[[#This Row],[Y (Position in AU)]]^2+horizons_results_fin_use___Copy__2[[#This Row],[Z (Position in AU)]]^2)</f>
        <v>0.98331323008493665</v>
      </c>
    </row>
    <row r="714" spans="1:5" x14ac:dyDescent="0.3">
      <c r="A714" s="1">
        <f t="shared" si="11"/>
        <v>713</v>
      </c>
      <c r="B714" s="1">
        <v>-0.23395335756422761</v>
      </c>
      <c r="C714" s="1">
        <v>0.87628538106159282</v>
      </c>
      <c r="D714" s="1">
        <v>0.37984798729674207</v>
      </c>
      <c r="E714" s="2">
        <f>SQRT(horizons_results_fin_use___Copy__2[[#This Row],[X (Position in AU)]]^2+horizons_results_fin_use___Copy__2[[#This Row],[Y (Position in AU)]]^2+horizons_results_fin_use___Copy__2[[#This Row],[Z (Position in AU)]]^2)</f>
        <v>0.98330805754413608</v>
      </c>
    </row>
    <row r="715" spans="1:5" x14ac:dyDescent="0.3">
      <c r="A715" s="1">
        <f t="shared" si="11"/>
        <v>714</v>
      </c>
      <c r="B715" s="1">
        <v>-0.25090381046885912</v>
      </c>
      <c r="C715" s="1">
        <v>0.87232870617212732</v>
      </c>
      <c r="D715" s="1">
        <v>0.37813285222628451</v>
      </c>
      <c r="E715" s="2">
        <f>SQRT(horizons_results_fin_use___Copy__2[[#This Row],[X (Position in AU)]]^2+horizons_results_fin_use___Copy__2[[#This Row],[Y (Position in AU)]]^2+horizons_results_fin_use___Copy__2[[#This Row],[Z (Position in AU)]]^2)</f>
        <v>0.98330796175588653</v>
      </c>
    </row>
    <row r="716" spans="1:5" x14ac:dyDescent="0.3">
      <c r="A716" s="1">
        <f t="shared" si="11"/>
        <v>715</v>
      </c>
      <c r="B716" s="1">
        <v>-0.26777475373580018</v>
      </c>
      <c r="C716" s="1">
        <v>0.86810109818461367</v>
      </c>
      <c r="D716" s="1">
        <v>0.37630043218999321</v>
      </c>
      <c r="E716" s="2">
        <f>SQRT(horizons_results_fin_use___Copy__2[[#This Row],[X (Position in AU)]]^2+horizons_results_fin_use___Copy__2[[#This Row],[Y (Position in AU)]]^2+horizons_results_fin_use___Copy__2[[#This Row],[Z (Position in AU)]]^2)</f>
        <v>0.98331320070157524</v>
      </c>
    </row>
    <row r="717" spans="1:5" x14ac:dyDescent="0.3">
      <c r="A717" s="1">
        <f t="shared" si="11"/>
        <v>716</v>
      </c>
      <c r="B717" s="1">
        <v>-0.28456108770721161</v>
      </c>
      <c r="C717" s="1">
        <v>0.86360417598581141</v>
      </c>
      <c r="D717" s="1">
        <v>0.37435143364094903</v>
      </c>
      <c r="E717" s="2">
        <f>SQRT(horizons_results_fin_use___Copy__2[[#This Row],[X (Position in AU)]]^2+horizons_results_fin_use___Copy__2[[#This Row],[Y (Position in AU)]]^2+horizons_results_fin_use___Copy__2[[#This Row],[Z (Position in AU)]]^2)</f>
        <v>0.98332404693787367</v>
      </c>
    </row>
    <row r="718" spans="1:5" x14ac:dyDescent="0.3">
      <c r="A718" s="1">
        <f t="shared" si="11"/>
        <v>717</v>
      </c>
      <c r="B718" s="1">
        <v>-0.3012578221235831</v>
      </c>
      <c r="C718" s="1">
        <v>0.85883963022654686</v>
      </c>
      <c r="D718" s="1">
        <v>0.37228658599325543</v>
      </c>
      <c r="E718" s="2">
        <f>SQRT(horizons_results_fin_use___Copy__2[[#This Row],[X (Position in AU)]]^2+horizons_results_fin_use___Copy__2[[#This Row],[Y (Position in AU)]]^2+horizons_results_fin_use___Copy__2[[#This Row],[Z (Position in AU)]]^2)</f>
        <v>0.98334077915483087</v>
      </c>
    </row>
    <row r="719" spans="1:5" x14ac:dyDescent="0.3">
      <c r="A719" s="1">
        <f t="shared" si="11"/>
        <v>718</v>
      </c>
      <c r="B719" s="1">
        <v>-0.31786008159078433</v>
      </c>
      <c r="C719" s="1">
        <v>0.85380920092007184</v>
      </c>
      <c r="D719" s="1">
        <v>0.370106630282173</v>
      </c>
      <c r="E719" s="2">
        <f>SQRT(horizons_results_fin_use___Copy__2[[#This Row],[X (Position in AU)]]^2+horizons_results_fin_use___Copy__2[[#This Row],[Y (Position in AU)]]^2+horizons_results_fin_use___Copy__2[[#This Row],[Z (Position in AU)]]^2)</f>
        <v>0.98336366661754226</v>
      </c>
    </row>
    <row r="720" spans="1:5" x14ac:dyDescent="0.3">
      <c r="A720" s="1">
        <f t="shared" si="11"/>
        <v>719</v>
      </c>
      <c r="B720" s="1">
        <v>-0.33436310137557412</v>
      </c>
      <c r="C720" s="1">
        <v>0.84851464905735063</v>
      </c>
      <c r="D720" s="1">
        <v>0.36781230572308432</v>
      </c>
      <c r="E720" s="2">
        <f>SQRT(horizons_results_fin_use___Copy__2[[#This Row],[X (Position in AU)]]^2+horizons_results_fin_use___Copy__2[[#This Row],[Y (Position in AU)]]^2+horizons_results_fin_use___Copy__2[[#This Row],[Z (Position in AU)]]^2)</f>
        <v>0.98339294560604962</v>
      </c>
    </row>
    <row r="721" spans="1:5" x14ac:dyDescent="0.3">
      <c r="A721" s="1">
        <f t="shared" si="11"/>
        <v>720</v>
      </c>
      <c r="B721" s="1">
        <v>-0.35076220846356609</v>
      </c>
      <c r="C721" s="1">
        <v>0.84295772654456702</v>
      </c>
      <c r="D721" s="1">
        <v>0.36540433673591621</v>
      </c>
      <c r="E721" s="2">
        <f>SQRT(horizons_results_fin_use___Copy__2[[#This Row],[X (Position in AU)]]^2+horizons_results_fin_use___Copy__2[[#This Row],[Y (Position in AU)]]^2+horizons_results_fin_use___Copy__2[[#This Row],[Z (Position in AU)]]^2)</f>
        <v>0.98342878996541383</v>
      </c>
    </row>
    <row r="722" spans="1:5" x14ac:dyDescent="0.3">
      <c r="A722" s="1">
        <f t="shared" si="11"/>
        <v>721</v>
      </c>
      <c r="B722" s="1">
        <v>-0.36705278616846593</v>
      </c>
      <c r="C722" s="1">
        <v>0.83714015237098116</v>
      </c>
      <c r="D722" s="1">
        <v>0.362883424485064</v>
      </c>
      <c r="E722" s="2">
        <f>SQRT(horizons_results_fin_use___Copy__2[[#This Row],[X (Position in AU)]]^2+horizons_results_fin_use___Copy__2[[#This Row],[Y (Position in AU)]]^2+horizons_results_fin_use___Copy__2[[#This Row],[Z (Position in AU)]]^2)</f>
        <v>0.98347128189477406</v>
      </c>
    </row>
    <row r="723" spans="1:5" x14ac:dyDescent="0.3">
      <c r="A723" s="1">
        <f t="shared" si="11"/>
        <v>722</v>
      </c>
      <c r="B723" s="1">
        <v>-0.3832302269740116</v>
      </c>
      <c r="C723" s="1">
        <v>0.83106360402065116</v>
      </c>
      <c r="D723" s="1">
        <v>0.36025024697066271</v>
      </c>
      <c r="E723" s="2">
        <f>SQRT(horizons_results_fin_use___Copy__2[[#This Row],[X (Position in AU)]]^2+horizons_results_fin_use___Copy__2[[#This Row],[Y (Position in AU)]]^2+horizons_results_fin_use___Copy__2[[#This Row],[Z (Position in AU)]]^2)</f>
        <v>0.98352039187643159</v>
      </c>
    </row>
    <row r="724" spans="1:5" x14ac:dyDescent="0.3">
      <c r="A724" s="1">
        <f t="shared" si="11"/>
        <v>723</v>
      </c>
      <c r="B724" s="1">
        <v>-0.39928988466703769</v>
      </c>
      <c r="C724" s="1">
        <v>0.82472972952425261</v>
      </c>
      <c r="D724" s="1">
        <v>0.35750546936484001</v>
      </c>
      <c r="E724" s="2">
        <f>SQRT(horizons_results_fin_use___Copy__2[[#This Row],[X (Position in AU)]]^2+horizons_results_fin_use___Copy__2[[#This Row],[Y (Position in AU)]]^2+horizons_results_fin_use___Copy__2[[#This Row],[Z (Position in AU)]]^2)</f>
        <v>0.98357597540014052</v>
      </c>
    </row>
    <row r="725" spans="1:5" x14ac:dyDescent="0.3">
      <c r="A725" s="1">
        <f t="shared" si="11"/>
        <v>724</v>
      </c>
      <c r="B725" s="1">
        <v>-0.41522703862167359</v>
      </c>
      <c r="C725" s="1">
        <v>0.81814017814352002</v>
      </c>
      <c r="D725" s="1">
        <v>0.35464976247703039</v>
      </c>
      <c r="E725" s="2">
        <f>SQRT(horizons_results_fin_use___Copy__2[[#This Row],[X (Position in AU)]]^2+horizons_results_fin_use___Copy__2[[#This Row],[Y (Position in AU)]]^2+horizons_results_fin_use___Copy__2[[#This Row],[Z (Position in AU)]]^2)</f>
        <v>0.98363778837550231</v>
      </c>
    </row>
    <row r="726" spans="1:5" x14ac:dyDescent="0.3">
      <c r="A726" s="1">
        <f t="shared" si="11"/>
        <v>725</v>
      </c>
      <c r="B726" s="1">
        <v>-0.43103687842929572</v>
      </c>
      <c r="C726" s="1">
        <v>0.81129664089496545</v>
      </c>
      <c r="D726" s="1">
        <v>0.35168382429339262</v>
      </c>
      <c r="E726" s="2">
        <f>SQRT(horizons_results_fin_use___Copy__2[[#This Row],[X (Position in AU)]]^2+horizons_results_fin_use___Copy__2[[#This Row],[Y (Position in AU)]]^2+horizons_results_fin_use___Copy__2[[#This Row],[Z (Position in AU)]]^2)</f>
        <v>0.98370551607844092</v>
      </c>
    </row>
    <row r="727" spans="1:5" x14ac:dyDescent="0.3">
      <c r="A727" s="1">
        <f t="shared" si="11"/>
        <v>726</v>
      </c>
      <c r="B727" s="1">
        <v>-0.44671450901017662</v>
      </c>
      <c r="C727" s="1">
        <v>0.80420089014798557</v>
      </c>
      <c r="D727" s="1">
        <v>0.34860839926781417</v>
      </c>
      <c r="E727" s="2">
        <f>SQRT(horizons_results_fin_use___Copy__2[[#This Row],[X (Position in AU)]]^2+horizons_results_fin_use___Copy__2[[#This Row],[Y (Position in AU)]]^2+horizons_results_fin_use___Copy__2[[#This Row],[Z (Position in AU)]]^2)</f>
        <v>0.9837788065998796</v>
      </c>
    </row>
    <row r="728" spans="1:5" x14ac:dyDescent="0.3">
      <c r="A728" s="1">
        <f t="shared" si="11"/>
        <v>727</v>
      </c>
      <c r="B728" s="1">
        <v>-0.46225497006710958</v>
      </c>
      <c r="C728" s="1">
        <v>0.79685481064735486</v>
      </c>
      <c r="D728" s="1">
        <v>0.34542429212739811</v>
      </c>
      <c r="E728" s="2">
        <f>SQRT(horizons_results_fin_use___Copy__2[[#This Row],[X (Position in AU)]]^2+horizons_results_fin_use___Copy__2[[#This Row],[Y (Position in AU)]]^2+horizons_results_fin_use___Copy__2[[#This Row],[Z (Position in AU)]]^2)</f>
        <v>0.98385730072774791</v>
      </c>
    </row>
    <row r="729" spans="1:5" x14ac:dyDescent="0.3">
      <c r="A729" s="1">
        <f t="shared" si="11"/>
        <v>728</v>
      </c>
      <c r="B729" s="1">
        <v>-0.47765326196215802</v>
      </c>
      <c r="C729" s="1">
        <v>0.789260419394885</v>
      </c>
      <c r="D729" s="1">
        <v>0.34213237561912502</v>
      </c>
      <c r="E729" s="2">
        <f>SQRT(horizons_results_fin_use___Copy__2[[#This Row],[X (Position in AU)]]^2+horizons_results_fin_use___Copy__2[[#This Row],[Y (Position in AU)]]^2+horizons_results_fin_use___Copy__2[[#This Row],[Z (Position in AU)]]^2)</f>
        <v>0.98394065407079601</v>
      </c>
    </row>
    <row r="730" spans="1:5" x14ac:dyDescent="0.3">
      <c r="A730" s="1">
        <f t="shared" si="11"/>
        <v>729</v>
      </c>
      <c r="B730" s="1">
        <v>-0.49290437189738778</v>
      </c>
      <c r="C730" s="1">
        <v>0.7814198757291011</v>
      </c>
      <c r="D730" s="1">
        <v>0.33873359339283321</v>
      </c>
      <c r="E730" s="2">
        <f>SQRT(horizons_results_fin_use___Copy__2[[#This Row],[X (Position in AU)]]^2+horizons_results_fin_use___Copy__2[[#This Row],[Y (Position in AU)]]^2+horizons_results_fin_use___Copy__2[[#This Row],[Z (Position in AU)]]^2)</f>
        <v>0.98402855106590448</v>
      </c>
    </row>
    <row r="731" spans="1:5" x14ac:dyDescent="0.3">
      <c r="A731" s="1">
        <f t="shared" si="11"/>
        <v>730</v>
      </c>
      <c r="B731" s="1">
        <v>-0.50800329725151516</v>
      </c>
      <c r="C731" s="1">
        <v>0.77333548454364187</v>
      </c>
      <c r="D731" s="1">
        <v>0.33522895974611061</v>
      </c>
      <c r="E731" s="2">
        <f>SQRT(horizons_results_fin_use___Copy__2[[#This Row],[X (Position in AU)]]^2+horizons_results_fin_use___Copy__2[[#This Row],[Y (Position in AU)]]^2+horizons_results_fin_use___Copy__2[[#This Row],[Z (Position in AU)]]^2)</f>
        <v>0.9841207126797098</v>
      </c>
    </row>
    <row r="732" spans="1:5" x14ac:dyDescent="0.3">
      <c r="A732" s="1">
        <f t="shared" si="11"/>
        <v>731</v>
      </c>
      <c r="B732" s="1">
        <v>-0.52294506531677865</v>
      </c>
      <c r="C732" s="1">
        <v>0.76500969542688713</v>
      </c>
      <c r="D732" s="1">
        <v>0.33161955766961582</v>
      </c>
      <c r="E732" s="2">
        <f>SQRT(horizons_results_fin_use___Copy__2[[#This Row],[X (Position in AU)]]^2+horizons_results_fin_use___Copy__2[[#This Row],[Y (Position in AU)]]^2+horizons_results_fin_use___Copy__2[[#This Row],[Z (Position in AU)]]^2)</f>
        <v>0.98421690011160656</v>
      </c>
    </row>
    <row r="733" spans="1:5" x14ac:dyDescent="0.3">
      <c r="A733" s="1">
        <f t="shared" si="11"/>
        <v>732</v>
      </c>
      <c r="B733" s="1">
        <v>-0.5377247499413611</v>
      </c>
      <c r="C733" s="1">
        <v>0.75644509958701922</v>
      </c>
      <c r="D733" s="1">
        <v>0.32790653606830822</v>
      </c>
      <c r="E733" s="2">
        <f>SQRT(horizons_results_fin_use___Copy__2[[#This Row],[X (Position in AU)]]^2+horizons_results_fin_use___Copy__2[[#This Row],[Y (Position in AU)]]^2+horizons_results_fin_use___Copy__2[[#This Row],[Z (Position in AU)]]^2)</f>
        <v>0.98431691633590823</v>
      </c>
    </row>
    <row r="734" spans="1:5" x14ac:dyDescent="0.3">
      <c r="A734" s="1">
        <f t="shared" si="11"/>
        <v>733</v>
      </c>
      <c r="B734" s="1">
        <v>-0.55233748590365239</v>
      </c>
      <c r="C734" s="1">
        <v>0.74764442548186083</v>
      </c>
      <c r="D734" s="1">
        <v>0.32409110654010931</v>
      </c>
      <c r="E734" s="2">
        <f>SQRT(horizons_results_fin_use___Copy__2[[#This Row],[X (Position in AU)]]^2+horizons_results_fin_use___Copy__2[[#This Row],[Y (Position in AU)]]^2+horizons_results_fin_use___Copy__2[[#This Row],[Z (Position in AU)]]^2)</f>
        <v>0.98442060656350627</v>
      </c>
    </row>
    <row r="735" spans="1:5" x14ac:dyDescent="0.3">
      <c r="A735" s="1">
        <f t="shared" si="11"/>
        <v>734</v>
      </c>
      <c r="B735" s="1">
        <v>-0.56677848163491173</v>
      </c>
      <c r="C735" s="1">
        <v>0.73861053343677174</v>
      </c>
      <c r="D735" s="1">
        <v>0.32017453979825578</v>
      </c>
      <c r="E735" s="2">
        <f>SQRT(horizons_results_fin_use___Copy__2[[#This Row],[X (Position in AU)]]^2+horizons_results_fin_use___Copy__2[[#This Row],[Y (Position in AU)]]^2+horizons_results_fin_use___Copy__2[[#This Row],[Z (Position in AU)]]^2)</f>
        <v>0.98452785805336829</v>
      </c>
    </row>
    <row r="736" spans="1:5" x14ac:dyDescent="0.3">
      <c r="A736" s="1">
        <f t="shared" si="11"/>
        <v>735</v>
      </c>
      <c r="B736" s="1">
        <v>-0.58104303053222817</v>
      </c>
      <c r="C736" s="1">
        <v>0.72934640927034045</v>
      </c>
      <c r="D736" s="1">
        <v>0.31615816172647682</v>
      </c>
      <c r="E736" s="2">
        <f>SQRT(horizons_results_fin_use___Copy__2[[#This Row],[X (Position in AU)]]^2+horizons_results_fin_use___Copy__2[[#This Row],[Y (Position in AU)]]^2+horizons_results_fin_use___Copy__2[[#This Row],[Z (Position in AU)]]^2)</f>
        <v>0.98463859932052222</v>
      </c>
    </row>
    <row r="737" spans="1:5" x14ac:dyDescent="0.3">
      <c r="A737" s="1">
        <f t="shared" si="11"/>
        <v>736</v>
      </c>
      <c r="B737" s="1">
        <v>-0.59512652080957096</v>
      </c>
      <c r="C737" s="1">
        <v>0.71985515697408153</v>
      </c>
      <c r="D737" s="1">
        <v>0.31204334909491038</v>
      </c>
      <c r="E737" s="2">
        <f>SQRT(horizons_results_fin_use___Copy__2[[#This Row],[X (Position in AU)]]^2+horizons_results_fin_use___Copy__2[[#This Row],[Y (Position in AU)]]^2+horizons_results_fin_use___Copy__2[[#This Row],[Z (Position in AU)]]^2)</f>
        <v>0.98475279867967491</v>
      </c>
    </row>
    <row r="738" spans="1:5" x14ac:dyDescent="0.3">
      <c r="A738" s="1">
        <f t="shared" si="11"/>
        <v>737</v>
      </c>
      <c r="B738" s="1">
        <v>-0.60902444374374465</v>
      </c>
      <c r="C738" s="1">
        <v>0.71013999066438016</v>
      </c>
      <c r="D738" s="1">
        <v>0.30783152505742079</v>
      </c>
      <c r="E738" s="2">
        <f>SQRT(horizons_results_fin_use___Copy__2[[#This Row],[X (Position in AU)]]^2+horizons_results_fin_use___Copy__2[[#This Row],[Y (Position in AU)]]^2+horizons_results_fin_use___Copy__2[[#This Row],[Z (Position in AU)]]^2)</f>
        <v>0.98487046216107077</v>
      </c>
    </row>
    <row r="739" spans="1:5" x14ac:dyDescent="0.3">
      <c r="A739" s="1">
        <f t="shared" si="11"/>
        <v>738</v>
      </c>
      <c r="B739" s="1">
        <v>-0.62273240029486998</v>
      </c>
      <c r="C739" s="1">
        <v>0.70020422618998324</v>
      </c>
      <c r="D739" s="1">
        <v>0.30352415462154159</v>
      </c>
      <c r="E739" s="2">
        <f>SQRT(horizons_results_fin_use___Copy__2[[#This Row],[X (Position in AU)]]^2+horizons_results_fin_use___Copy__2[[#This Row],[Y (Position in AU)]]^2+horizons_results_fin_use___Copy__2[[#This Row],[Z (Position in AU)]]^2)</f>
        <v>0.98499163102538334</v>
      </c>
    </row>
    <row r="740" spans="1:5" x14ac:dyDescent="0.3">
      <c r="A740" s="1">
        <f t="shared" si="11"/>
        <v>739</v>
      </c>
      <c r="B740" s="1">
        <v>-0.63624610634233303</v>
      </c>
      <c r="C740" s="1">
        <v>0.6900512728193231</v>
      </c>
      <c r="D740" s="1">
        <v>0.29912274027952118</v>
      </c>
      <c r="E740" s="2">
        <f>SQRT(horizons_results_fin_use___Copy__2[[#This Row],[X (Position in AU)]]^2+horizons_results_fin_use___Copy__2[[#This Row],[Y (Position in AU)]]^2+horizons_results_fin_use___Copy__2[[#This Row],[Z (Position in AU)]]^2)</f>
        <v>0.98511637927083373</v>
      </c>
    </row>
    <row r="741" spans="1:5" x14ac:dyDescent="0.3">
      <c r="A741" s="1">
        <f t="shared" si="11"/>
        <v>740</v>
      </c>
      <c r="B741" s="1">
        <v>-0.64956139705765681</v>
      </c>
      <c r="C741" s="1">
        <v>0.67968462529323559</v>
      </c>
      <c r="D741" s="1">
        <v>0.29462881789593948</v>
      </c>
      <c r="E741" s="2">
        <f>SQRT(horizons_results_fin_use___Copy__2[[#This Row],[X (Position in AU)]]^2+horizons_results_fin_use___Copy__2[[#This Row],[Y (Position in AU)]]^2+horizons_results_fin_use___Copy__2[[#This Row],[Z (Position in AU)]]^2)</f>
        <v>0.98524481157845212</v>
      </c>
    </row>
    <row r="742" spans="1:5" x14ac:dyDescent="0.3">
      <c r="A742" s="1">
        <f t="shared" si="11"/>
        <v>741</v>
      </c>
      <c r="B742" s="1">
        <v>-0.66267423111538093</v>
      </c>
      <c r="C742" s="1">
        <v>0.6691078562158066</v>
      </c>
      <c r="D742" s="1">
        <v>0.29004395277741379</v>
      </c>
      <c r="E742" s="2">
        <f>SQRT(horizons_results_fin_use___Copy__2[[#This Row],[X (Position in AU)]]^2+horizons_results_fin_use___Copy__2[[#This Row],[Y (Position in AU)]]^2+horizons_results_fin_use___Copy__2[[#This Row],[Z (Position in AU)]]^2)</f>
        <v>0.98537706203098741</v>
      </c>
    </row>
    <row r="743" spans="1:5" x14ac:dyDescent="0.3">
      <c r="A743" s="1">
        <f t="shared" si="11"/>
        <v>742</v>
      </c>
      <c r="B743" s="1">
        <v>-0.67558069542398491</v>
      </c>
      <c r="C743" s="1">
        <v>0.65832460831565875</v>
      </c>
      <c r="D743" s="1">
        <v>0.28536973563452939</v>
      </c>
      <c r="E743" s="2">
        <f>SQRT(horizons_results_fin_use___Copy__2[[#This Row],[X (Position in AU)]]^2+horizons_results_fin_use___Copy__2[[#This Row],[Y (Position in AU)]]^2+horizons_results_fin_use___Copy__2[[#This Row],[Z (Position in AU)]]^2)</f>
        <v>0.98551329364937634</v>
      </c>
    </row>
    <row r="744" spans="1:5" x14ac:dyDescent="0.3">
      <c r="A744" s="1">
        <f t="shared" si="11"/>
        <v>743</v>
      </c>
      <c r="B744" s="1">
        <v>-0.68827701075922065</v>
      </c>
      <c r="C744" s="1">
        <v>0.64733858561225721</v>
      </c>
      <c r="D744" s="1">
        <v>0.28060777792712899</v>
      </c>
      <c r="E744" s="2">
        <f>SQRT(horizons_results_fin_use___Copy__2[[#This Row],[X (Position in AU)]]^2+horizons_results_fin_use___Copy__2[[#This Row],[Y (Position in AU)]]^2+horizons_results_fin_use___Copy__2[[#This Row],[Z (Position in AU)]]^2)</f>
        <v>0.9856536983115961</v>
      </c>
    </row>
    <row r="745" spans="1:5" x14ac:dyDescent="0.3">
      <c r="A745" s="1">
        <f t="shared" si="11"/>
        <v>744</v>
      </c>
      <c r="B745" s="1">
        <v>-0.70075953801703517</v>
      </c>
      <c r="C745" s="1">
        <v>0.63615354207320296</v>
      </c>
      <c r="D745" s="1">
        <v>0.27575970592131249</v>
      </c>
      <c r="E745" s="2">
        <f>SQRT(horizons_results_fin_use___Copy__2[[#This Row],[X (Position in AU)]]^2+horizons_results_fin_use___Copy__2[[#This Row],[Y (Position in AU)]]^2+horizons_results_fin_use___Copy__2[[#This Row],[Z (Position in AU)]]^2)</f>
        <v>0.98579849595337665</v>
      </c>
    </row>
    <row r="746" spans="1:5" x14ac:dyDescent="0.3">
      <c r="A746" s="1">
        <f t="shared" si="11"/>
        <v>745</v>
      </c>
      <c r="B746" s="1">
        <v>-0.71302478369679745</v>
      </c>
      <c r="C746" s="1">
        <v>0.62477326614521</v>
      </c>
      <c r="D746" s="1">
        <v>0.27082715278313257</v>
      </c>
      <c r="E746" s="2">
        <f>SQRT(horizons_results_fin_use___Copy__2[[#This Row],[X (Position in AU)]]^2+horizons_results_fin_use___Copy__2[[#This Row],[Y (Position in AU)]]^2+horizons_results_fin_use___Copy__2[[#This Row],[Z (Position in AU)]]^2)</f>
        <v>0.98594793115064472</v>
      </c>
    </row>
    <row r="747" spans="1:5" x14ac:dyDescent="0.3">
      <c r="A747" s="1">
        <f t="shared" si="11"/>
        <v>746</v>
      </c>
      <c r="B747" s="1">
        <v>-0.72506940171765744</v>
      </c>
      <c r="C747" s="1">
        <v>0.61320155993725489</v>
      </c>
      <c r="D747" s="1">
        <v>0.26581174836067561</v>
      </c>
      <c r="E747" s="2">
        <f>SQRT(horizons_results_fin_use___Copy__2[[#This Row],[X (Position in AU)]]^2+horizons_results_fin_use___Copy__2[[#This Row],[Y (Position in AU)]]^2+horizons_results_fin_use___Copy__2[[#This Row],[Z (Position in AU)]]^2)</f>
        <v>0.98610226446512306</v>
      </c>
    </row>
    <row r="748" spans="1:5" x14ac:dyDescent="0.3">
      <c r="A748" s="1">
        <f t="shared" si="11"/>
        <v>747</v>
      </c>
      <c r="B748" s="1">
        <v>-0.73689018716130439</v>
      </c>
      <c r="C748" s="1">
        <v>0.60144221331692094</v>
      </c>
      <c r="D748" s="1">
        <v>0.26071510716807478</v>
      </c>
      <c r="E748" s="2">
        <f>SQRT(horizons_results_fin_use___Copy__2[[#This Row],[X (Position in AU)]]^2+horizons_results_fin_use___Copy__2[[#This Row],[Y (Position in AU)]]^2+horizons_results_fin_use___Copy__2[[#This Row],[Z (Position in AU)]]^2)</f>
        <v>0.98626175582339171</v>
      </c>
    </row>
    <row r="749" spans="1:5" x14ac:dyDescent="0.3">
      <c r="A749" s="1">
        <f t="shared" si="11"/>
        <v>748</v>
      </c>
      <c r="B749" s="1">
        <v>-0.74848405706221799</v>
      </c>
      <c r="C749" s="1">
        <v>0.5894989760590793</v>
      </c>
      <c r="D749" s="1">
        <v>0.25553881654319283</v>
      </c>
      <c r="E749" s="2">
        <f>SQRT(horizons_results_fin_use___Copy__2[[#This Row],[X (Position in AU)]]^2+horizons_results_fin_use___Copy__2[[#This Row],[Y (Position in AU)]]^2+horizons_results_fin_use___Copy__2[[#This Row],[Z (Position in AU)]]^2)</f>
        <v>0.98642663853492729</v>
      </c>
    </row>
    <row r="750" spans="1:5" x14ac:dyDescent="0.3">
      <c r="A750" s="1">
        <f t="shared" si="11"/>
        <v>749</v>
      </c>
      <c r="B750" s="1">
        <v>-0.75984801548325964</v>
      </c>
      <c r="C750" s="1">
        <v>0.57737553486994764</v>
      </c>
      <c r="D750" s="1">
        <v>0.25028442857908351</v>
      </c>
      <c r="E750" s="2">
        <f>SQRT(horizons_results_fin_use___Copy__2[[#This Row],[X (Position in AU)]]^2+horizons_results_fin_use___Copy__2[[#This Row],[Y (Position in AU)]]^2+horizons_results_fin_use___Copy__2[[#This Row],[Z (Position in AU)]]^2)</f>
        <v>0.9865970859927391</v>
      </c>
    </row>
    <row r="751" spans="1:5" x14ac:dyDescent="0.3">
      <c r="A751" s="1">
        <f t="shared" si="11"/>
        <v>750</v>
      </c>
      <c r="B751" s="1">
        <v>-0.77097910570805284</v>
      </c>
      <c r="C751" s="1">
        <v>0.56507550445412291</v>
      </c>
      <c r="D751" s="1">
        <v>0.24495346009417659</v>
      </c>
      <c r="E751" s="2">
        <f>SQRT(horizons_results_fin_use___Copy__2[[#This Row],[X (Position in AU)]]^2+horizons_results_fin_use___Copy__2[[#This Row],[Y (Position in AU)]]^2+horizons_results_fin_use___Copy__2[[#This Row],[Z (Position in AU)]]^2)</f>
        <v>0.9867731779819412</v>
      </c>
    </row>
    <row r="752" spans="1:5" x14ac:dyDescent="0.3">
      <c r="A752" s="1">
        <f t="shared" si="11"/>
        <v>751</v>
      </c>
      <c r="B752" s="1">
        <v>-0.78187435970409991</v>
      </c>
      <c r="C752" s="1">
        <v>0.55260243983509716</v>
      </c>
      <c r="D752" s="1">
        <v>0.2395474033018431</v>
      </c>
      <c r="E752" s="2">
        <f>SQRT(horizons_results_fin_use___Copy__2[[#This Row],[X (Position in AU)]]^2+horizons_results_fin_use___Copy__2[[#This Row],[Y (Position in AU)]]^2+horizons_results_fin_use___Copy__2[[#This Row],[Z (Position in AU)]]^2)</f>
        <v>0.98695487703494034</v>
      </c>
    </row>
    <row r="753" spans="1:5" x14ac:dyDescent="0.3">
      <c r="A753" s="1">
        <f t="shared" si="11"/>
        <v>752</v>
      </c>
      <c r="B753" s="1">
        <v>-0.79253075926752126</v>
      </c>
      <c r="C753" s="1">
        <v>0.53995986996198797</v>
      </c>
      <c r="D753" s="1">
        <v>0.23406774593357649</v>
      </c>
      <c r="E753" s="2">
        <f>SQRT(horizons_results_fin_use___Copy__2[[#This Row],[X (Position in AU)]]^2+horizons_results_fin_use___Copy__2[[#This Row],[Y (Position in AU)]]^2+horizons_results_fin_use___Copy__2[[#This Row],[Z (Position in AU)]]^2)</f>
        <v>0.98714202384507266</v>
      </c>
    </row>
    <row r="754" spans="1:5" x14ac:dyDescent="0.3">
      <c r="A754" s="1">
        <f t="shared" si="11"/>
        <v>753</v>
      </c>
      <c r="B754" s="1">
        <v>-0.80294522018191317</v>
      </c>
      <c r="C754" s="1">
        <v>0.52715134382248774</v>
      </c>
      <c r="D754" s="1">
        <v>0.22851599550050331</v>
      </c>
      <c r="E754" s="2">
        <f>SQRT(horizons_results_fin_use___Copy__2[[#This Row],[X (Position in AU)]]^2+horizons_results_fin_use___Copy__2[[#This Row],[Y (Position in AU)]]^2+horizons_results_fin_use___Copy__2[[#This Row],[Z (Position in AU)]]^2)</f>
        <v>0.98733435375581957</v>
      </c>
    </row>
    <row r="755" spans="1:5" x14ac:dyDescent="0.3">
      <c r="A755" s="1">
        <f t="shared" si="11"/>
        <v>754</v>
      </c>
      <c r="B755" s="1">
        <v>-0.81311460145321934</v>
      </c>
      <c r="C755" s="1">
        <v>0.51418047580021153</v>
      </c>
      <c r="D755" s="1">
        <v>0.2228937009826388</v>
      </c>
      <c r="E755" s="2">
        <f>SQRT(horizons_results_fin_use___Copy__2[[#This Row],[X (Position in AU)]]^2+horizons_results_fin_use___Copy__2[[#This Row],[Y (Position in AU)]]^2+horizons_results_fin_use___Copy__2[[#This Row],[Z (Position in AU)]]^2)</f>
        <v>0.9875315279667265</v>
      </c>
    </row>
    <row r="756" spans="1:5" x14ac:dyDescent="0.3">
      <c r="A756" s="1">
        <f t="shared" si="11"/>
        <v>755</v>
      </c>
      <c r="B756" s="1">
        <v>-0.823035732478136</v>
      </c>
      <c r="C756" s="1">
        <v>0.50105097957133049</v>
      </c>
      <c r="D756" s="1">
        <v>0.2172024672998096</v>
      </c>
      <c r="E756" s="2">
        <f>SQRT(horizons_results_fin_use___Copy__2[[#This Row],[X (Position in AU)]]^2+horizons_results_fin_use___Copy__2[[#This Row],[Y (Position in AU)]]^2+horizons_results_fin_use___Copy__2[[#This Row],[Z (Position in AU)]]^2)</f>
        <v>0.98773316886006035</v>
      </c>
    </row>
    <row r="757" spans="1:5" x14ac:dyDescent="0.3">
      <c r="A757" s="1">
        <f t="shared" si="11"/>
        <v>756</v>
      </c>
      <c r="B757" s="1">
        <v>-0.83270544725962092</v>
      </c>
      <c r="C757" s="1">
        <v>0.48776668655625649</v>
      </c>
      <c r="D757" s="1">
        <v>0.21144396155523429</v>
      </c>
      <c r="E757" s="2">
        <f>SQRT(horizons_results_fin_use___Copy__2[[#This Row],[X (Position in AU)]]^2+horizons_results_fin_use___Copy__2[[#This Row],[Y (Position in AU)]]^2+horizons_results_fin_use___Copy__2[[#This Row],[Z (Position in AU)]]^2)</f>
        <v>0.98793889046240413</v>
      </c>
    </row>
    <row r="758" spans="1:5" x14ac:dyDescent="0.3">
      <c r="A758" s="1">
        <f t="shared" si="11"/>
        <v>757</v>
      </c>
      <c r="B758" s="1">
        <v>-0.84212061676101091</v>
      </c>
      <c r="C758" s="1">
        <v>0.47433155094903012</v>
      </c>
      <c r="D758" s="1">
        <v>0.2056199128276055</v>
      </c>
      <c r="E758" s="2">
        <f>SQRT(horizons_results_fin_use___Copy__2[[#This Row],[X (Position in AU)]]^2+horizons_results_fin_use___Copy__2[[#This Row],[Y (Position in AU)]]^2+horizons_results_fin_use___Copy__2[[#This Row],[Z (Position in AU)]]^2)</f>
        <v>0.98814831981382723</v>
      </c>
    </row>
    <row r="759" spans="1:5" x14ac:dyDescent="0.3">
      <c r="A759" s="1">
        <f t="shared" si="11"/>
        <v>758</v>
      </c>
      <c r="B759" s="1">
        <v>-0.85127817491406588</v>
      </c>
      <c r="C759" s="1">
        <v>0.46074964606878649</v>
      </c>
      <c r="D759" s="1">
        <v>0.1997321082407357</v>
      </c>
      <c r="E759" s="2">
        <f>SQRT(horizons_results_fin_use___Copy__2[[#This Row],[X (Position in AU)]]^2+horizons_results_fin_use___Copy__2[[#This Row],[Y (Position in AU)]]^2+horizons_results_fin_use___Copy__2[[#This Row],[Z (Position in AU)]]^2)</f>
        <v>0.98836110936227339</v>
      </c>
    </row>
    <row r="760" spans="1:5" x14ac:dyDescent="0.3">
      <c r="A760" s="1">
        <f t="shared" si="11"/>
        <v>759</v>
      </c>
      <c r="B760" s="1">
        <v>-0.86017513761587372</v>
      </c>
      <c r="C760" s="1">
        <v>0.44702515661144138</v>
      </c>
      <c r="D760" s="1">
        <v>0.19378238762389691</v>
      </c>
      <c r="E760" s="2">
        <f>SQRT(horizons_results_fin_use___Copy__2[[#This Row],[X (Position in AU)]]^2+horizons_results_fin_use___Copy__2[[#This Row],[Y (Position in AU)]]^2+horizons_results_fin_use___Copy__2[[#This Row],[Z (Position in AU)]]^2)</f>
        <v>0.98857694276631258</v>
      </c>
    </row>
    <row r="761" spans="1:5" x14ac:dyDescent="0.3">
      <c r="A761" s="1">
        <f t="shared" si="11"/>
        <v>760</v>
      </c>
      <c r="B761" s="1">
        <v>-0.86880861612141613</v>
      </c>
      <c r="C761" s="1">
        <v>0.43316236988935097</v>
      </c>
      <c r="D761" s="1">
        <v>0.1877726381609503</v>
      </c>
      <c r="E761" s="2">
        <f>SQRT(horizons_results_fin_use___Copy__2[[#This Row],[X (Position in AU)]]^2+horizons_results_fin_use___Copy__2[[#This Row],[Y (Position in AU)]]^2+horizons_results_fin_use___Copy__2[[#This Row],[Z (Position in AU)]]^2)</f>
        <v>0.98879553689167321</v>
      </c>
    </row>
    <row r="762" spans="1:5" x14ac:dyDescent="0.3">
      <c r="A762" s="1">
        <f t="shared" si="11"/>
        <v>761</v>
      </c>
      <c r="B762" s="1">
        <v>-0.8771758268108294</v>
      </c>
      <c r="C762" s="1">
        <v>0.41916566755950768</v>
      </c>
      <c r="D762" s="1">
        <v>0.1817047895948814</v>
      </c>
      <c r="E762" s="2">
        <f>SQRT(horizons_results_fin_use___Copy__2[[#This Row],[X (Position in AU)]]^2+horizons_results_fin_use___Copy__2[[#This Row],[Y (Position in AU)]]^2+horizons_results_fin_use___Copy__2[[#This Row],[Z (Position in AU)]]^2)</f>
        <v>0.989016642207597</v>
      </c>
    </row>
    <row r="763" spans="1:5" x14ac:dyDescent="0.3">
      <c r="A763" s="1">
        <f t="shared" si="11"/>
        <v>762</v>
      </c>
      <c r="B763" s="1">
        <v>-0.88527409903596344</v>
      </c>
      <c r="C763" s="1">
        <v>0.40503951818787443</v>
      </c>
      <c r="D763" s="1">
        <v>0.17558081001076881</v>
      </c>
      <c r="E763" s="2">
        <f>SQRT(horizons_results_fin_use___Copy__2[[#This Row],[X (Position in AU)]]^2+horizons_results_fin_use___Copy__2[[#This Row],[Y (Position in AU)]]^2+horizons_results_fin_use___Copy__2[[#This Row],[Z (Position in AU)]]^2)</f>
        <v>0.98924004294298562</v>
      </c>
    </row>
    <row r="764" spans="1:5" x14ac:dyDescent="0.3">
      <c r="A764" s="1">
        <f t="shared" si="11"/>
        <v>763</v>
      </c>
      <c r="B764" s="1">
        <v>-0.89310088215641614</v>
      </c>
      <c r="C764" s="1">
        <v>0.39078847035383518</v>
      </c>
      <c r="D764" s="1">
        <v>0.16940270195536269</v>
      </c>
      <c r="E764" s="2">
        <f>SQRT(horizons_results_fin_use___Copy__2[[#This Row],[X (Position in AU)]]^2+horizons_results_fin_use___Copy__2[[#This Row],[Y (Position in AU)]]^2+horizons_results_fin_use___Copy__2[[#This Row],[Z (Position in AU)]]^2)</f>
        <v>0.98946555761170207</v>
      </c>
    </row>
    <row r="765" spans="1:5" x14ac:dyDescent="0.3">
      <c r="A765" s="1">
        <f t="shared" si="11"/>
        <v>764</v>
      </c>
      <c r="B765" s="1">
        <v>-0.90065375226516275</v>
      </c>
      <c r="C765" s="1">
        <v>0.37641714576543539</v>
      </c>
      <c r="D765" s="1">
        <v>0.16317249858993149</v>
      </c>
      <c r="E765" s="2">
        <f>SQRT(horizons_results_fin_use___Copy__2[[#This Row],[X (Position in AU)]]^2+horizons_results_fin_use___Copy__2[[#This Row],[Y (Position in AU)]]^2+horizons_results_fin_use___Copy__2[[#This Row],[Z (Position in AU)]]^2)</f>
        <v>0.98969303998340585</v>
      </c>
    </row>
    <row r="766" spans="1:5" x14ac:dyDescent="0.3">
      <c r="A766" s="1">
        <f t="shared" si="11"/>
        <v>765</v>
      </c>
      <c r="B766" s="1">
        <v>-0.90793041862835466</v>
      </c>
      <c r="C766" s="1">
        <v>0.36193023190272477</v>
      </c>
      <c r="D766" s="1">
        <v>0.1568922596374481</v>
      </c>
      <c r="E766" s="2">
        <f>SQRT(horizons_results_fin_use___Copy__2[[#This Row],[X (Position in AU)]]^2+horizons_results_fin_use___Copy__2[[#This Row],[Y (Position in AU)]]^2+horizons_results_fin_use___Copy__2[[#This Row],[Z (Position in AU)]]^2)</f>
        <v>0.98992238027532431</v>
      </c>
    </row>
    <row r="767" spans="1:5" x14ac:dyDescent="0.3">
      <c r="A767" s="1">
        <f t="shared" si="11"/>
        <v>766</v>
      </c>
      <c r="B767" s="1">
        <v>-0.91492872959229665</v>
      </c>
      <c r="C767" s="1">
        <v>0.34733247390942418</v>
      </c>
      <c r="D767" s="1">
        <v>0.15056406700862121</v>
      </c>
      <c r="E767" s="2">
        <f>SQRT(horizons_results_fin_use___Copy__2[[#This Row],[X (Position in AU)]]^2+horizons_results_fin_use___Copy__2[[#This Row],[Y (Position in AU)]]^2+horizons_results_fin_use___Copy__2[[#This Row],[Z (Position in AU)]]^2)</f>
        <v>0.99015350625021337</v>
      </c>
    </row>
    <row r="768" spans="1:5" x14ac:dyDescent="0.3">
      <c r="A768" s="1">
        <f t="shared" si="11"/>
        <v>767</v>
      </c>
      <c r="B768" s="1">
        <v>-0.92164667765617436</v>
      </c>
      <c r="C768" s="1">
        <v>0.33262866569320071</v>
      </c>
      <c r="D768" s="1">
        <v>0.14419002011399701</v>
      </c>
      <c r="E768" s="2">
        <f>SQRT(horizons_results_fin_use___Copy__2[[#This Row],[X (Position in AU)]]^2+horizons_results_fin_use___Copy__2[[#This Row],[Y (Position in AU)]]^2+horizons_results_fin_use___Copy__2[[#This Row],[Z (Position in AU)]]^2)</f>
        <v>0.99038638398151357</v>
      </c>
    </row>
    <row r="769" spans="1:5" x14ac:dyDescent="0.3">
      <c r="A769" s="1">
        <f t="shared" si="11"/>
        <v>768</v>
      </c>
      <c r="B769" s="1">
        <v>-0.92808240353111171</v>
      </c>
      <c r="C769" s="1">
        <v>0.31782364036285532</v>
      </c>
      <c r="D769" s="1">
        <v>0.13777223094129121</v>
      </c>
      <c r="E769" s="2">
        <f>SQRT(horizons_results_fin_use___Copy__2[[#This Row],[X (Position in AU)]]^2+horizons_results_fin_use___Copy__2[[#This Row],[Y (Position in AU)]]^2+horizons_results_fin_use___Copy__2[[#This Row],[Z (Position in AU)]]^2)</f>
        <v>0.99062101821843218</v>
      </c>
    </row>
    <row r="770" spans="1:5" x14ac:dyDescent="0.3">
      <c r="A770" s="1">
        <f t="shared" si="11"/>
        <v>769</v>
      </c>
      <c r="B770" s="1">
        <v>-0.93423419921003048</v>
      </c>
      <c r="C770" s="1">
        <v>0.30292226014650819</v>
      </c>
      <c r="D770" s="1">
        <v>0.13131281896715319</v>
      </c>
      <c r="E770" s="2">
        <f>SQRT(horizons_results_fin_use___Copy__2[[#This Row],[X (Position in AU)]]^2+horizons_results_fin_use___Copy__2[[#This Row],[Y (Position in AU)]]^2+horizons_results_fin_use___Copy__2[[#This Row],[Z (Position in AU)]]^2)</f>
        <v>0.99085745245770651</v>
      </c>
    </row>
    <row r="771" spans="1:5" x14ac:dyDescent="0.3">
      <c r="A771" s="1">
        <f t="shared" si="11"/>
        <v>770</v>
      </c>
      <c r="B771" s="1">
        <v>-0.94010051022772589</v>
      </c>
      <c r="C771" s="1">
        <v>0.28792940577075321</v>
      </c>
      <c r="D771" s="1">
        <v>0.12481390587859049</v>
      </c>
      <c r="E771" s="2">
        <f>SQRT(horizons_results_fin_use___Copy__2[[#This Row],[X (Position in AU)]]^2+horizons_results_fin_use___Copy__2[[#This Row],[Y (Position in AU)]]^2+horizons_results_fin_use___Copy__2[[#This Row],[Z (Position in AU)]]^2)</f>
        <v>0.99109576890359052</v>
      </c>
    </row>
    <row r="772" spans="1:5" x14ac:dyDescent="0.3">
      <c r="A772" s="1">
        <f t="shared" ref="A772:A835" si="12">A771+1</f>
        <v>771</v>
      </c>
      <c r="B772" s="1">
        <v>-0.94567993725910982</v>
      </c>
      <c r="C772" s="1">
        <v>0.27284996497527081</v>
      </c>
      <c r="D772" s="1">
        <v>0.11827760993214589</v>
      </c>
      <c r="E772" s="2">
        <f>SQRT(horizons_results_fin_use___Copy__2[[#This Row],[X (Position in AU)]]^2+horizons_results_fin_use___Copy__2[[#This Row],[Y (Position in AU)]]^2+horizons_results_fin_use___Copy__2[[#This Row],[Z (Position in AU)]]^2)</f>
        <v>0.99133608838408649</v>
      </c>
    </row>
    <row r="773" spans="1:5" x14ac:dyDescent="0.3">
      <c r="A773" s="1">
        <f t="shared" si="12"/>
        <v>772</v>
      </c>
      <c r="B773" s="1">
        <v>-0.95097123687136687</v>
      </c>
      <c r="C773" s="1">
        <v>0.25768881949843397</v>
      </c>
      <c r="D773" s="1">
        <v>0.11170603964146809</v>
      </c>
      <c r="E773" s="2">
        <f>SQRT(horizons_results_fin_use___Copy__2[[#This Row],[X (Position in AU)]]^2+horizons_results_fin_use___Copy__2[[#This Row],[Y (Position in AU)]]^2+horizons_results_fin_use___Copy__2[[#This Row],[Z (Position in AU)]]^2)</f>
        <v>0.99157856992955185</v>
      </c>
    </row>
    <row r="774" spans="1:5" x14ac:dyDescent="0.3">
      <c r="A774" s="1">
        <f t="shared" si="12"/>
        <v>773</v>
      </c>
      <c r="B774" s="1">
        <v>-0.95597332055092954</v>
      </c>
      <c r="C774" s="1">
        <v>0.24245082967925211</v>
      </c>
      <c r="D774" s="1">
        <v>0.1051012864507231</v>
      </c>
      <c r="E774" s="2">
        <f>SQRT(horizons_results_fin_use___Copy__2[[#This Row],[X (Position in AU)]]^2+horizons_results_fin_use___Copy__2[[#This Row],[Y (Position in AU)]]^2+horizons_results_fin_use___Copy__2[[#This Row],[Z (Position in AU)]]^2)</f>
        <v>0.99182340909605726</v>
      </c>
    </row>
    <row r="775" spans="1:5" x14ac:dyDescent="0.3">
      <c r="A775" s="1">
        <f t="shared" si="12"/>
        <v>774</v>
      </c>
      <c r="B775" s="1">
        <v>-0.96068525011601513</v>
      </c>
      <c r="C775" s="1">
        <v>0.22714081604717179</v>
      </c>
      <c r="D775" s="1">
        <v>9.8465416249173779E-2</v>
      </c>
      <c r="E775" s="2">
        <f>SQRT(horizons_results_fin_use___Copy__2[[#This Row],[X (Position in AU)]]^2+horizons_results_fin_use___Copy__2[[#This Row],[Y (Position in AU)]]^2+horizons_results_fin_use___Copy__2[[#This Row],[Z (Position in AU)]]^2)</f>
        <v>0.99207083330887658</v>
      </c>
    </row>
    <row r="776" spans="1:5" x14ac:dyDescent="0.3">
      <c r="A776" s="1">
        <f t="shared" si="12"/>
        <v>775</v>
      </c>
      <c r="B776" s="1">
        <v>-0.9651062265762983</v>
      </c>
      <c r="C776" s="1">
        <v>0.21176353824548119</v>
      </c>
      <c r="D776" s="1">
        <v>9.1800460149477722E-2</v>
      </c>
      <c r="E776" s="2">
        <f>SQRT(horizons_results_fin_use___Copy__2[[#This Row],[X (Position in AU)]]^2+horizons_results_fin_use___Copy__2[[#This Row],[Y (Position in AU)]]^2+horizons_results_fin_use___Copy__2[[#This Row],[Z (Position in AU)]]^2)</f>
        <v>0.99232109177939098</v>
      </c>
    </row>
    <row r="777" spans="1:5" x14ac:dyDescent="0.3">
      <c r="A777" s="1">
        <f t="shared" si="12"/>
        <v>776</v>
      </c>
      <c r="B777" s="1">
        <v>-0.96923556908101005</v>
      </c>
      <c r="C777" s="1">
        <v>0.19632367359329769</v>
      </c>
      <c r="D777" s="1">
        <v>8.5108405946812543E-2</v>
      </c>
      <c r="E777" s="2">
        <f>SQRT(horizons_results_fin_use___Copy__2[[#This Row],[X (Position in AU)]]^2+horizons_results_fin_use___Copy__2[[#This Row],[Y (Position in AU)]]^2+horizons_results_fin_use___Copy__2[[#This Row],[Z (Position in AU)]]^2)</f>
        <v>0.99257443748454688</v>
      </c>
    </row>
    <row r="778" spans="1:5" x14ac:dyDescent="0.3">
      <c r="A778" s="1">
        <f t="shared" si="12"/>
        <v>777</v>
      </c>
      <c r="B778" s="1">
        <v>-0.97307268186708584</v>
      </c>
      <c r="C778" s="1">
        <v>0.1808258002695407</v>
      </c>
      <c r="D778" s="1">
        <v>7.8391192875818555E-2</v>
      </c>
      <c r="E778" s="2">
        <f>SQRT(horizons_results_fin_use___Copy__2[[#This Row],[X (Position in AU)]]^2+horizons_results_fin_use___Copy__2[[#This Row],[Y (Position in AU)]]^2+horizons_results_fin_use___Copy__2[[#This Row],[Z (Position in AU)]]^2)</f>
        <v>0.99283110011704234</v>
      </c>
    </row>
    <row r="779" spans="1:5" x14ac:dyDescent="0.3">
      <c r="A779" s="1">
        <f t="shared" si="12"/>
        <v>778</v>
      </c>
      <c r="B779" s="1">
        <v>-0.9766170109629464</v>
      </c>
      <c r="C779" s="1">
        <v>0.1652743922112673</v>
      </c>
      <c r="D779" s="1">
        <v>7.1650712980753845E-2</v>
      </c>
      <c r="E779" s="2">
        <f>SQRT(horizons_results_fin_use___Copy__2[[#This Row],[X (Position in AU)]]^2+horizons_results_fin_use___Copy__2[[#This Row],[Y (Position in AU)]]^2+horizons_results_fin_use___Copy__2[[#This Row],[Z (Position in AU)]]^2)</f>
        <v>0.9930912523497798</v>
      </c>
    </row>
    <row r="780" spans="1:5" x14ac:dyDescent="0.3">
      <c r="A780" s="1">
        <f t="shared" si="12"/>
        <v>779</v>
      </c>
      <c r="B780" s="1">
        <v>-0.9798679982033045</v>
      </c>
      <c r="C780" s="1">
        <v>0.14967383213338609</v>
      </c>
      <c r="D780" s="1">
        <v>6.4888821576466971E-2</v>
      </c>
      <c r="E780" s="2">
        <f>SQRT(horizons_results_fin_use___Copy__2[[#This Row],[X (Position in AU)]]^2+horizons_results_fin_use___Copy__2[[#This Row],[Y (Position in AU)]]^2+horizons_results_fin_use___Copy__2[[#This Row],[Z (Position in AU)]]^2)</f>
        <v>0.99335497637754189</v>
      </c>
    </row>
    <row r="781" spans="1:5" x14ac:dyDescent="0.3">
      <c r="A781" s="1">
        <f t="shared" si="12"/>
        <v>780</v>
      </c>
      <c r="B781" s="1">
        <v>-0.98282504473074694</v>
      </c>
      <c r="C781" s="1">
        <v>0.13402844404032399</v>
      </c>
      <c r="D781" s="1">
        <v>5.810735641400494E-2</v>
      </c>
      <c r="E781" s="2">
        <f>SQRT(horizons_results_fin_use___Copy__2[[#This Row],[X (Position in AU)]]^2+horizons_results_fin_use___Copy__2[[#This Row],[Y (Position in AU)]]^2+horizons_results_fin_use___Copy__2[[#This Row],[Z (Position in AU)]]^2)</f>
        <v>0.99362224070885674</v>
      </c>
    </row>
    <row r="782" spans="1:5" x14ac:dyDescent="0.3">
      <c r="A782" s="1">
        <f t="shared" si="12"/>
        <v>781</v>
      </c>
      <c r="B782" s="1">
        <v>-0.98548749541631409</v>
      </c>
      <c r="C782" s="1">
        <v>0.11834253877607109</v>
      </c>
      <c r="D782" s="1">
        <v>5.1308161402137627E-2</v>
      </c>
      <c r="E782" s="2">
        <f>SQRT(horizons_results_fin_use___Copy__2[[#This Row],[X (Position in AU)]]^2+horizons_results_fin_use___Copy__2[[#This Row],[Y (Position in AU)]]^2+horizons_results_fin_use___Copy__2[[#This Row],[Z (Position in AU)]]^2)</f>
        <v>0.99389289540289671</v>
      </c>
    </row>
    <row r="783" spans="1:5" x14ac:dyDescent="0.3">
      <c r="A783" s="1">
        <f t="shared" si="12"/>
        <v>782</v>
      </c>
      <c r="B783" s="1">
        <v>-0.98785464838760706</v>
      </c>
      <c r="C783" s="1">
        <v>0.1026204603857946</v>
      </c>
      <c r="D783" s="1">
        <v>4.4493108540115511E-2</v>
      </c>
      <c r="E783" s="2">
        <f>SQRT(horizons_results_fin_use___Copy__2[[#This Row],[X (Position in AU)]]^2+horizons_results_fin_use___Copy__2[[#This Row],[Y (Position in AU)]]^2+horizons_results_fin_use___Copy__2[[#This Row],[Z (Position in AU)]]^2)</f>
        <v>0.99416668720006796</v>
      </c>
    </row>
    <row r="784" spans="1:5" x14ac:dyDescent="0.3">
      <c r="A784" s="1">
        <f t="shared" si="12"/>
        <v>783</v>
      </c>
      <c r="B784" s="1">
        <v>-0.98992578430825329</v>
      </c>
      <c r="C784" s="1">
        <v>8.6866621494121082E-2</v>
      </c>
      <c r="D784" s="1">
        <v>3.7664112755859722E-2</v>
      </c>
      <c r="E784" s="2">
        <f>SQRT(horizons_results_fin_use___Copy__2[[#This Row],[X (Position in AU)]]^2+horizons_results_fin_use___Copy__2[[#This Row],[Y (Position in AU)]]^2+horizons_results_fin_use___Copy__2[[#This Row],[Z (Position in AU)]]^2)</f>
        <v>0.99444328835675666</v>
      </c>
    </row>
    <row r="785" spans="1:5" x14ac:dyDescent="0.3">
      <c r="A785" s="1">
        <f t="shared" si="12"/>
        <v>784</v>
      </c>
      <c r="B785" s="1">
        <v>-0.99170020431323302</v>
      </c>
      <c r="C785" s="1">
        <v>7.1085521879754282E-2</v>
      </c>
      <c r="D785" s="1">
        <v>3.0823137764303999E-2</v>
      </c>
      <c r="E785" s="2">
        <f>SQRT(horizons_results_fin_use___Copy__2[[#This Row],[X (Position in AU)]]^2+horizons_results_fin_use___Copy__2[[#This Row],[Y (Position in AU)]]^2+horizons_results_fin_use___Copy__2[[#This Row],[Z (Position in AU)]]^2)</f>
        <v>0.99472232933490656</v>
      </c>
    </row>
    <row r="786" spans="1:5" x14ac:dyDescent="0.3">
      <c r="A786" s="1">
        <f t="shared" si="12"/>
        <v>785</v>
      </c>
      <c r="B786" s="1">
        <v>-0.99317726603648138</v>
      </c>
      <c r="C786" s="1">
        <v>5.5281751398558697E-2</v>
      </c>
      <c r="D786" s="1">
        <v>2.3972194425812571E-2</v>
      </c>
      <c r="E786" s="2">
        <f>SQRT(horizons_results_fin_use___Copy__2[[#This Row],[X (Position in AU)]]^2+horizons_results_fin_use___Copy__2[[#This Row],[Y (Position in AU)]]^2+horizons_results_fin_use___Copy__2[[#This Row],[Z (Position in AU)]]^2)</f>
        <v>0.99500342708705325</v>
      </c>
    </row>
    <row r="787" spans="1:5" x14ac:dyDescent="0.3">
      <c r="A787" s="1">
        <f t="shared" si="12"/>
        <v>786</v>
      </c>
      <c r="B787" s="1">
        <v>-0.99435641167054833</v>
      </c>
      <c r="C787" s="1">
        <v>3.9459982484587312E-2</v>
      </c>
      <c r="D787" s="1">
        <v>1.7113334689242549E-2</v>
      </c>
      <c r="E787" s="2">
        <f>SQRT(horizons_results_fin_use___Copy__2[[#This Row],[X (Position in AU)]]^2+horizons_results_fin_use___Copy__2[[#This Row],[Y (Position in AU)]]^2+horizons_results_fin_use___Copy__2[[#This Row],[Z (Position in AU)]]^2)</f>
        <v>0.99528620500446952</v>
      </c>
    </row>
    <row r="788" spans="1:5" x14ac:dyDescent="0.3">
      <c r="A788" s="1">
        <f t="shared" si="12"/>
        <v>787</v>
      </c>
      <c r="B788" s="1">
        <v>-0.9952371867709765</v>
      </c>
      <c r="C788" s="1">
        <v>2.3624957958359911E-2</v>
      </c>
      <c r="D788" s="1">
        <v>1.0248644035219341E-2</v>
      </c>
      <c r="E788" s="2">
        <f>SQRT(horizons_results_fin_use___Copy__2[[#This Row],[X (Position in AU)]]^2+horizons_results_fin_use___Copy__2[[#This Row],[Y (Position in AU)]]^2+horizons_results_fin_use___Copy__2[[#This Row],[Z (Position in AU)]]^2)</f>
        <v>0.99557030453650153</v>
      </c>
    </row>
    <row r="789" spans="1:5" x14ac:dyDescent="0.3">
      <c r="A789" s="1">
        <f t="shared" si="12"/>
        <v>788</v>
      </c>
      <c r="B789" s="1">
        <v>-0.99581925147620487</v>
      </c>
      <c r="C789" s="1">
        <v>7.7814782893157663E-3</v>
      </c>
      <c r="D789" s="1">
        <v>3.3802343047281262E-3</v>
      </c>
      <c r="E789" s="2">
        <f>SQRT(horizons_results_fin_use___Copy__2[[#This Row],[X (Position in AU)]]^2+horizons_results_fin_use___Copy__2[[#This Row],[Y (Position in AU)]]^2+horizons_results_fin_use___Copy__2[[#This Row],[Z (Position in AU)]]^2)</f>
        <v>0.99585539060596084</v>
      </c>
    </row>
    <row r="790" spans="1:5" x14ac:dyDescent="0.3">
      <c r="A790" s="1">
        <f t="shared" si="12"/>
        <v>789</v>
      </c>
      <c r="B790" s="1">
        <v>-0.99610238682539565</v>
      </c>
      <c r="C790" s="1">
        <v>-8.0656095517639814E-3</v>
      </c>
      <c r="D790" s="1">
        <v>-3.489762273391585E-3</v>
      </c>
      <c r="E790" s="2">
        <f>SQRT(horizons_results_fin_use___Copy__2[[#This Row],[X (Position in AU)]]^2+horizons_results_fin_use___Copy__2[[#This Row],[Y (Position in AU)]]^2+horizons_results_fin_use___Copy__2[[#This Row],[Z (Position in AU)]]^2)</f>
        <v>0.99614115342024512</v>
      </c>
    </row>
    <row r="791" spans="1:5" x14ac:dyDescent="0.3">
      <c r="A791" s="1">
        <f t="shared" si="12"/>
        <v>790</v>
      </c>
      <c r="B791" s="1">
        <v>-0.99608649865907239</v>
      </c>
      <c r="C791" s="1">
        <v>-2.3911421085611881E-2</v>
      </c>
      <c r="D791" s="1">
        <v>-1.035919779379805E-2</v>
      </c>
      <c r="E791" s="2">
        <f>SQRT(horizons_results_fin_use___Copy__2[[#This Row],[X (Position in AU)]]^2+horizons_results_fin_use___Copy__2[[#This Row],[Y (Position in AU)]]^2+horizons_results_fin_use___Copy__2[[#This Row],[Z (Position in AU)]]^2)</f>
        <v>0.9964273088630976</v>
      </c>
    </row>
    <row r="792" spans="1:5" x14ac:dyDescent="0.3">
      <c r="A792" s="1">
        <f t="shared" si="12"/>
        <v>791</v>
      </c>
      <c r="B792" s="1">
        <v>-0.99577162089740268</v>
      </c>
      <c r="C792" s="1">
        <v>-3.975104154863747E-2</v>
      </c>
      <c r="D792" s="1">
        <v>-1.7225912467677771E-2</v>
      </c>
      <c r="E792" s="2">
        <f>SQRT(horizons_results_fin_use___Copy__2[[#This Row],[X (Position in AU)]]^2+horizons_results_fin_use___Copy__2[[#This Row],[Y (Position in AU)]]^2+horizons_results_fin_use___Copy__2[[#This Row],[Z (Position in AU)]]^2)</f>
        <v>0.99671359895869094</v>
      </c>
    </row>
    <row r="793" spans="1:5" x14ac:dyDescent="0.3">
      <c r="A793" s="1">
        <f t="shared" si="12"/>
        <v>792</v>
      </c>
      <c r="B793" s="1">
        <v>-0.99515791921921193</v>
      </c>
      <c r="C793" s="1">
        <v>-5.5579532186976657E-2</v>
      </c>
      <c r="D793" s="1">
        <v>-2.408773799446963E-2</v>
      </c>
      <c r="E793" s="2">
        <f>SQRT(horizons_results_fin_use___Copy__2[[#This Row],[X (Position in AU)]]^2+horizons_results_fin_use___Copy__2[[#This Row],[Y (Position in AU)]]^2+horizons_results_fin_use___Copy__2[[#This Row],[Z (Position in AU)]]^2)</f>
        <v>0.99699979323193688</v>
      </c>
    </row>
    <row r="794" spans="1:5" x14ac:dyDescent="0.3">
      <c r="A794" s="1">
        <f t="shared" si="12"/>
        <v>793</v>
      </c>
      <c r="B794" s="1">
        <v>-0.99424569547750752</v>
      </c>
      <c r="C794" s="1">
        <v>-7.1391936575541701E-2</v>
      </c>
      <c r="D794" s="1">
        <v>-3.0942501006460559E-2</v>
      </c>
      <c r="E794" s="2">
        <f>SQRT(horizons_results_fin_use___Copy__2[[#This Row],[X (Position in AU)]]^2+horizons_results_fin_use___Copy__2[[#This Row],[Y (Position in AU)]]^2+horizons_results_fin_use___Copy__2[[#This Row],[Z (Position in AU)]]^2)</f>
        <v>0.99728569124002453</v>
      </c>
    </row>
    <row r="795" spans="1:5" x14ac:dyDescent="0.3">
      <c r="A795" s="1">
        <f t="shared" si="12"/>
        <v>794</v>
      </c>
      <c r="B795" s="1">
        <v>-0.99303539263826202</v>
      </c>
      <c r="C795" s="1">
        <v>-8.7183287810662341E-2</v>
      </c>
      <c r="D795" s="1">
        <v>-3.7788026980645623E-2</v>
      </c>
      <c r="E795" s="2">
        <f>SQRT(horizons_results_fin_use___Copy__2[[#This Row],[X (Position in AU)]]^2+horizons_results_fin_use___Copy__2[[#This Row],[Y (Position in AU)]]^2+horizons_results_fin_use___Copy__2[[#This Row],[Z (Position in AU)]]^2)</f>
        <v>0.99757112613025944</v>
      </c>
    </row>
    <row r="796" spans="1:5" x14ac:dyDescent="0.3">
      <c r="A796" s="1">
        <f t="shared" si="12"/>
        <v>795</v>
      </c>
      <c r="B796" s="1">
        <v>-0.99152759964766612</v>
      </c>
      <c r="C796" s="1">
        <v>-0.10294861716735999</v>
      </c>
      <c r="D796" s="1">
        <v>-4.4622144853400061E-2</v>
      </c>
      <c r="E796" s="2">
        <f>SQRT(horizons_results_fin_use___Copy__2[[#This Row],[X (Position in AU)]]^2+horizons_results_fin_use___Copy__2[[#This Row],[Y (Position in AU)]]^2+horizons_results_fin_use___Copy__2[[#This Row],[Z (Position in AU)]]^2)</f>
        <v>0.99785596879061256</v>
      </c>
    </row>
    <row r="797" spans="1:5" x14ac:dyDescent="0.3">
      <c r="A797" s="1">
        <f t="shared" si="12"/>
        <v>796</v>
      </c>
      <c r="B797" s="1">
        <v>-0.98972305544782169</v>
      </c>
      <c r="C797" s="1">
        <v>-0.1186829644717582</v>
      </c>
      <c r="D797" s="1">
        <v>-5.1442692391393069E-2</v>
      </c>
      <c r="E797" s="2">
        <f>SQRT(horizons_results_fin_use___Copy__2[[#This Row],[X (Position in AU)]]^2+horizons_results_fin_use___Copy__2[[#This Row],[Y (Position in AU)]]^2+horizons_results_fin_use___Copy__2[[#This Row],[Z (Position in AU)]]^2)</f>
        <v>0.99814013201616736</v>
      </c>
    </row>
    <row r="798" spans="1:5" x14ac:dyDescent="0.3">
      <c r="A798" s="1">
        <f t="shared" si="12"/>
        <v>797</v>
      </c>
      <c r="B798" s="1">
        <v>-0.98762265137969141</v>
      </c>
      <c r="C798" s="1">
        <v>-0.13438139010331351</v>
      </c>
      <c r="D798" s="1">
        <v>-5.8247522210231509E-2</v>
      </c>
      <c r="E798" s="2">
        <f>SQRT(horizons_results_fin_use___Copy__2[[#This Row],[X (Position in AU)]]^2+horizons_results_fin_use___Copy__2[[#This Row],[Y (Position in AU)]]^2+horizons_results_fin_use___Copy__2[[#This Row],[Z (Position in AU)]]^2)</f>
        <v>0.99842357412472083</v>
      </c>
    </row>
    <row r="799" spans="1:5" x14ac:dyDescent="0.3">
      <c r="A799" s="1">
        <f t="shared" si="12"/>
        <v>798</v>
      </c>
      <c r="B799" s="1">
        <v>-0.98522743138758173</v>
      </c>
      <c r="C799" s="1">
        <v>-0.15003898830740539</v>
      </c>
      <c r="D799" s="1">
        <v>-6.5034508233596924E-2</v>
      </c>
      <c r="E799" s="2">
        <f>SQRT(horizons_results_fin_use___Copy__2[[#This Row],[X (Position in AU)]]^2+horizons_results_fin_use___Copy__2[[#This Row],[Y (Position in AU)]]^2+horizons_results_fin_use___Copy__2[[#This Row],[Z (Position in AU)]]^2)</f>
        <v>0.99870630158824347</v>
      </c>
    </row>
    <row r="800" spans="1:5" x14ac:dyDescent="0.3">
      <c r="A800" s="1">
        <f t="shared" si="12"/>
        <v>799</v>
      </c>
      <c r="B800" s="1">
        <v>-0.98253858965568774</v>
      </c>
      <c r="C800" s="1">
        <v>-0.16565090143146069</v>
      </c>
      <c r="D800" s="1">
        <v>-7.1801552371780944E-2</v>
      </c>
      <c r="E800" s="2">
        <f>SQRT(horizons_results_fin_use___Copy__2[[#This Row],[X (Position in AU)]]^2+horizons_results_fin_use___Copy__2[[#This Row],[Y (Position in AU)]]^2+horizons_results_fin_use___Copy__2[[#This Row],[Z (Position in AU)]]^2)</f>
        <v>0.99898837041811506</v>
      </c>
    </row>
    <row r="801" spans="1:5" x14ac:dyDescent="0.3">
      <c r="A801" s="1">
        <f t="shared" si="12"/>
        <v>800</v>
      </c>
      <c r="B801" s="1">
        <v>-0.97955746541052202</v>
      </c>
      <c r="C801" s="1">
        <v>-0.18121233478196511</v>
      </c>
      <c r="D801" s="1">
        <v>-7.8546591248672901E-2</v>
      </c>
      <c r="E801" s="2">
        <f>SQRT(horizons_results_fin_use___Copy__2[[#This Row],[X (Position in AU)]]^2+horizons_results_fin_use___Copy__2[[#This Row],[Y (Position in AU)]]^2+horizons_results_fin_use___Copy__2[[#This Row],[Z (Position in AU)]]^2)</f>
        <v>0.99926988612456602</v>
      </c>
    </row>
    <row r="802" spans="1:5" x14ac:dyDescent="0.3">
      <c r="A802" s="1">
        <f t="shared" si="12"/>
        <v>801</v>
      </c>
      <c r="B802" s="1">
        <v>-0.97628553448925948</v>
      </c>
      <c r="C802" s="1">
        <v>-0.19671857191307579</v>
      </c>
      <c r="D802" s="1">
        <v>-8.5267602850266147E-2</v>
      </c>
      <c r="E802" s="2">
        <f>SQRT(horizons_results_fin_use___Copy__2[[#This Row],[X (Position in AU)]]^2+horizons_results_fin_use___Copy__2[[#This Row],[Y (Position in AU)]]^2+horizons_results_fin_use___Copy__2[[#This Row],[Z (Position in AU)]]^2)</f>
        <v>0.9995510019425371</v>
      </c>
    </row>
    <row r="803" spans="1:5" x14ac:dyDescent="0.3">
      <c r="A803" s="1">
        <f t="shared" si="12"/>
        <v>802</v>
      </c>
      <c r="B803" s="1">
        <v>-0.97272439689456325</v>
      </c>
      <c r="C803" s="1">
        <v>-0.21216499008783471</v>
      </c>
      <c r="D803" s="1">
        <v>-9.1962612901814816E-2</v>
      </c>
      <c r="E803" s="2">
        <f>SQRT(horizons_results_fin_use___Copy__2[[#This Row],[X (Position in AU)]]^2+horizons_results_fin_use___Copy__2[[#This Row],[Y (Position in AU)]]^2+horizons_results_fin_use___Copy__2[[#This Row],[Z (Position in AU)]]^2)</f>
        <v>0.99983191462594934</v>
      </c>
    </row>
    <row r="804" spans="1:5" x14ac:dyDescent="0.3">
      <c r="A804" s="1">
        <f t="shared" si="12"/>
        <v>803</v>
      </c>
      <c r="B804" s="1">
        <v>-0.96887575911521584</v>
      </c>
      <c r="C804" s="1">
        <v>-0.2275470751636586</v>
      </c>
      <c r="D804" s="1">
        <v>-9.8629700506165902E-2</v>
      </c>
      <c r="E804" s="2">
        <f>SQRT(horizons_results_fin_use___Copy__2[[#This Row],[X (Position in AU)]]^2+horizons_results_fin_use___Copy__2[[#This Row],[Y (Position in AU)]]^2+horizons_results_fin_use___Copy__2[[#This Row],[Z (Position in AU)]]^2)</f>
        <v>1.0001128565509783</v>
      </c>
    </row>
    <row r="805" spans="1:5" x14ac:dyDescent="0.3">
      <c r="A805" s="1">
        <f t="shared" si="12"/>
        <v>804</v>
      </c>
      <c r="B805" s="1">
        <v>-0.96474140991019097</v>
      </c>
      <c r="C805" s="1">
        <v>-0.24286043411350311</v>
      </c>
      <c r="D805" s="1">
        <v>-0.1052670020654842</v>
      </c>
      <c r="E805" s="2">
        <f>SQRT(horizons_results_fin_use___Copy__2[[#This Row],[X (Position in AU)]]^2+horizons_results_fin_use___Copy__2[[#This Row],[Y (Position in AU)]]^2+horizons_results_fin_use___Copy__2[[#This Row],[Z (Position in AU)]]^2)</f>
        <v>1.0003940824380944</v>
      </c>
    </row>
    <row r="806" spans="1:5" x14ac:dyDescent="0.3">
      <c r="A806" s="1">
        <f t="shared" si="12"/>
        <v>805</v>
      </c>
      <c r="B806" s="1">
        <v>-0.96032318913023762</v>
      </c>
      <c r="C806" s="1">
        <v>-0.25810080198504282</v>
      </c>
      <c r="D806" s="1">
        <v>-0.11187271190291689</v>
      </c>
      <c r="E806" s="2">
        <f>SQRT(horizons_results_fin_use___Copy__2[[#This Row],[X (Position in AU)]]^2+horizons_results_fin_use___Copy__2[[#This Row],[Y (Position in AU)]]^2+horizons_results_fin_use___Copy__2[[#This Row],[Z (Position in AU)]]^2)</f>
        <v>1.0006758492314609</v>
      </c>
    </row>
    <row r="807" spans="1:5" x14ac:dyDescent="0.3">
      <c r="A807" s="1">
        <f t="shared" si="12"/>
        <v>806</v>
      </c>
      <c r="B807" s="1">
        <v>-0.95562295145410558</v>
      </c>
      <c r="C807" s="1">
        <v>-0.27326403904101992</v>
      </c>
      <c r="D807" s="1">
        <v>-0.1184450776885351</v>
      </c>
      <c r="E807" s="2">
        <f>SQRT(horizons_results_fin_use___Copy__2[[#This Row],[X (Position in AU)]]^2+horizons_results_fin_use___Copy__2[[#This Row],[Y (Position in AU)]]^2+horizons_results_fin_use___Copy__2[[#This Row],[Z (Position in AU)]]^2)</f>
        <v>1.0009583891488751</v>
      </c>
    </row>
    <row r="808" spans="1:5" x14ac:dyDescent="0.3">
      <c r="A808" s="1">
        <f t="shared" si="12"/>
        <v>807</v>
      </c>
      <c r="B808" s="1">
        <v>-0.95064253035626289</v>
      </c>
      <c r="C808" s="1">
        <v>-0.28834611432828727</v>
      </c>
      <c r="D808" s="1">
        <v>-0.1249823893176964</v>
      </c>
      <c r="E808" s="2">
        <f>SQRT(horizons_results_fin_use___Copy__2[[#This Row],[X (Position in AU)]]^2+horizons_results_fin_use___Copy__2[[#This Row],[Y (Position in AU)]]^2+horizons_results_fin_use___Copy__2[[#This Row],[Z (Position in AU)]]^2)</f>
        <v>1.001241878773526</v>
      </c>
    </row>
    <row r="809" spans="1:5" x14ac:dyDescent="0.3">
      <c r="A809" s="1">
        <f t="shared" si="12"/>
        <v>808</v>
      </c>
      <c r="B809" s="1">
        <v>-0.94538371058066573</v>
      </c>
      <c r="C809" s="1">
        <v>-0.30334307498370477</v>
      </c>
      <c r="D809" s="1">
        <v>-0.131482961629595</v>
      </c>
      <c r="E809" s="2">
        <f>SQRT(horizons_results_fin_use___Copy__2[[#This Row],[X (Position in AU)]]^2+horizons_results_fin_use___Copy__2[[#This Row],[Y (Position in AU)]]^2+horizons_results_fin_use___Copy__2[[#This Row],[Z (Position in AU)]]^2)</f>
        <v>1.0015264103211292</v>
      </c>
    </row>
    <row r="810" spans="1:5" x14ac:dyDescent="0.3">
      <c r="A810" s="1">
        <f t="shared" si="12"/>
        <v>809</v>
      </c>
      <c r="B810" s="1">
        <v>-0.93984821737832369</v>
      </c>
      <c r="C810" s="1">
        <v>-0.31825100568194431</v>
      </c>
      <c r="D810" s="1">
        <v>-0.13794511382035721</v>
      </c>
      <c r="E810" s="2">
        <f>SQRT(horizons_results_fin_use___Copy__2[[#This Row],[X (Position in AU)]]^2+horizons_results_fin_use___Copy__2[[#This Row],[Y (Position in AU)]]^2+horizons_results_fin_use___Copy__2[[#This Row],[Z (Position in AU)]]^2)</f>
        <v>1.0018119727542154</v>
      </c>
    </row>
    <row r="811" spans="1:5" x14ac:dyDescent="0.3">
      <c r="A811" s="1">
        <f t="shared" si="12"/>
        <v>810</v>
      </c>
      <c r="B811" s="1">
        <v>-0.93403772640715188</v>
      </c>
      <c r="C811" s="1">
        <v>-0.33306598714705282</v>
      </c>
      <c r="D811" s="1">
        <v>-0.1443671502123918</v>
      </c>
      <c r="E811" s="2">
        <f>SQRT(horizons_results_fin_use___Copy__2[[#This Row],[X (Position in AU)]]^2+horizons_results_fin_use___Copy__2[[#This Row],[Y (Position in AU)]]^2+horizons_results_fin_use___Copy__2[[#This Row],[Z (Position in AU)]]^2)</f>
        <v>1.002098448360504</v>
      </c>
    </row>
    <row r="812" spans="1:5" x14ac:dyDescent="0.3">
      <c r="A812" s="1">
        <f t="shared" si="12"/>
        <v>811</v>
      </c>
      <c r="B812" s="1">
        <v>-0.92795389122081195</v>
      </c>
      <c r="C812" s="1">
        <v>-0.34778406346191498</v>
      </c>
      <c r="D812" s="1">
        <v>-0.150747346827312</v>
      </c>
      <c r="E812" s="2">
        <f>SQRT(horizons_results_fin_use___Copy__2[[#This Row],[X (Position in AU)]]^2+horizons_results_fin_use___Copy__2[[#This Row],[Y (Position in AU)]]^2+horizons_results_fin_use___Copy__2[[#This Row],[Z (Position in AU)]]^2)</f>
        <v>1.0023856251989061</v>
      </c>
    </row>
    <row r="813" spans="1:5" x14ac:dyDescent="0.3">
      <c r="A813" s="1">
        <f t="shared" si="12"/>
        <v>812</v>
      </c>
      <c r="B813" s="1">
        <v>-0.92159837975170311</v>
      </c>
      <c r="C813" s="1">
        <v>-0.3624012242256916</v>
      </c>
      <c r="D813" s="1">
        <v>-0.1570839459439978</v>
      </c>
      <c r="E813" s="2">
        <f>SQRT(horizons_results_fin_use___Copy__2[[#This Row],[X (Position in AU)]]^2+horizons_results_fin_use___Copy__2[[#This Row],[Y (Position in AU)]]^2+horizons_results_fin_use___Copy__2[[#This Row],[Z (Position in AU)]]^2)</f>
        <v>1.002673220423574</v>
      </c>
    </row>
    <row r="814" spans="1:5" x14ac:dyDescent="0.3">
      <c r="A814" s="1">
        <f t="shared" si="12"/>
        <v>813</v>
      </c>
      <c r="B814" s="1">
        <v>-0.91497291012340065</v>
      </c>
      <c r="C814" s="1">
        <v>-0.37691340186148142</v>
      </c>
      <c r="D814" s="1">
        <v>-0.1633751579457397</v>
      </c>
      <c r="E814" s="2">
        <f>SQRT(horizons_results_fin_use___Copy__2[[#This Row],[X (Position in AU)]]^2+horizons_results_fin_use___Copy__2[[#This Row],[Y (Position in AU)]]^2+horizons_results_fin_use___Copy__2[[#This Row],[Z (Position in AU)]]^2)</f>
        <v>1.0029609070129677</v>
      </c>
    </row>
    <row r="815" spans="1:5" x14ac:dyDescent="0.3">
      <c r="A815" s="1">
        <f t="shared" si="12"/>
        <v>814</v>
      </c>
      <c r="B815" s="1">
        <v>-0.9080792791250305</v>
      </c>
      <c r="C815" s="1">
        <v>-0.39131647995776803</v>
      </c>
      <c r="D815" s="1">
        <v>-0.16961916788090109</v>
      </c>
      <c r="E815" s="2">
        <f>SQRT(horizons_results_fin_use___Copy__2[[#This Row],[X (Position in AU)]]^2+horizons_results_fin_use___Copy__2[[#This Row],[Y (Position in AU)]]^2+horizons_results_fin_use___Copy__2[[#This Row],[Z (Position in AU)]]^2)</f>
        <v>1.0032483375393066</v>
      </c>
    </row>
    <row r="816" spans="1:5" x14ac:dyDescent="0.3">
      <c r="A816" s="1">
        <f t="shared" si="12"/>
        <v>815</v>
      </c>
      <c r="B816" s="1">
        <v>-0.90091938106425984</v>
      </c>
      <c r="C816" s="1">
        <v>-0.4056063070799048</v>
      </c>
      <c r="D816" s="1">
        <v>-0.17581414384217539</v>
      </c>
      <c r="E816" s="2">
        <f>SQRT(horizons_results_fin_use___Copy__2[[#This Row],[X (Position in AU)]]^2+horizons_results_fin_use___Copy__2[[#This Row],[Y (Position in AU)]]^2+horizons_results_fin_use___Copy__2[[#This Row],[Z (Position in AU)]]^2)</f>
        <v>1.0035351616635884</v>
      </c>
    </row>
    <row r="817" spans="1:5" x14ac:dyDescent="0.3">
      <c r="A817" s="1">
        <f t="shared" si="12"/>
        <v>816</v>
      </c>
      <c r="B817" s="1">
        <v>-0.89349521809748544</v>
      </c>
      <c r="C817" s="1">
        <v>-0.41977871144083972</v>
      </c>
      <c r="D817" s="1">
        <v>-0.18195824502561381</v>
      </c>
      <c r="E817" s="2">
        <f>SQRT(horizons_results_fin_use___Copy__2[[#This Row],[X (Position in AU)]]^2+horizons_results_fin_use___Copy__2[[#This Row],[Y (Position in AU)]]^2+horizons_results_fin_use___Copy__2[[#This Row],[Z (Position in AU)]]^2)</f>
        <v>1.0038210369756184</v>
      </c>
    </row>
    <row r="818" spans="1:5" x14ac:dyDescent="0.3">
      <c r="A818" s="1">
        <f t="shared" si="12"/>
        <v>817</v>
      </c>
      <c r="B818" s="1">
        <v>-0.88580890470824714</v>
      </c>
      <c r="C818" s="1">
        <v>-0.43382951372173872</v>
      </c>
      <c r="D818" s="1">
        <v>-0.1880496283886301</v>
      </c>
      <c r="E818" s="2">
        <f>SQRT(horizons_results_fin_use___Copy__2[[#This Row],[X (Position in AU)]]^2+horizons_results_fin_use___Copy__2[[#This Row],[Y (Position in AU)]]^2+horizons_results_fin_use___Copy__2[[#This Row],[Z (Position in AU)]]^2)</f>
        <v>1.0041056345691757</v>
      </c>
    </row>
    <row r="819" spans="1:5" x14ac:dyDescent="0.3">
      <c r="A819" s="1">
        <f t="shared" si="12"/>
        <v>818</v>
      </c>
      <c r="B819" s="1">
        <v>-0.87786266915299338</v>
      </c>
      <c r="C819" s="1">
        <v>-0.44775453708685009</v>
      </c>
      <c r="D819" s="1">
        <v>-0.19408645368853969</v>
      </c>
      <c r="E819" s="2">
        <f>SQRT(horizons_results_fin_use___Copy__2[[#This Row],[X (Position in AU)]]^2+horizons_results_fin_use___Copy__2[[#This Row],[Y (Position in AU)]]^2+horizons_results_fin_use___Copy__2[[#This Row],[Z (Position in AU)]]^2)</f>
        <v>1.0043886413533714</v>
      </c>
    </row>
    <row r="820" spans="1:5" x14ac:dyDescent="0.3">
      <c r="A820" s="1">
        <f t="shared" si="12"/>
        <v>819</v>
      </c>
      <c r="B820" s="1">
        <v>-0.86965885412043764</v>
      </c>
      <c r="C820" s="1">
        <v>-0.46154961462988281</v>
      </c>
      <c r="D820" s="1">
        <v>-0.20006688721094809</v>
      </c>
      <c r="E820" s="2">
        <f>SQRT(horizons_results_fin_use___Copy__2[[#This Row],[X (Position in AU)]]^2+horizons_results_fin_use___Copy__2[[#This Row],[Y (Position in AU)]]^2+horizons_results_fin_use___Copy__2[[#This Row],[Z (Position in AU)]]^2)</f>
        <v>1.0046697610027606</v>
      </c>
    </row>
    <row r="821" spans="1:5" x14ac:dyDescent="0.3">
      <c r="A821" s="1">
        <f t="shared" si="12"/>
        <v>820</v>
      </c>
      <c r="B821" s="1">
        <v>-0.86119991806645524</v>
      </c>
      <c r="C821" s="1">
        <v>-0.47521059515083802</v>
      </c>
      <c r="D821" s="1">
        <v>-0.20598910474905821</v>
      </c>
      <c r="E821" s="2">
        <f>SQRT(horizons_results_fin_use___Copy__2[[#This Row],[X (Position in AU)]]^2+horizons_results_fin_use___Copy__2[[#This Row],[Y (Position in AU)]]^2+horizons_results_fin_use___Copy__2[[#This Row],[Z (Position in AU)]]^2)</f>
        <v>1.0049487150579384</v>
      </c>
    </row>
    <row r="822" spans="1:5" x14ac:dyDescent="0.3">
      <c r="A822" s="1">
        <f t="shared" si="12"/>
        <v>821</v>
      </c>
      <c r="B822" s="1">
        <v>-0.85248843791882123</v>
      </c>
      <c r="C822" s="1">
        <v>-0.48873334845652178</v>
      </c>
      <c r="D822" s="1">
        <v>-0.21185129446996209</v>
      </c>
      <c r="E822" s="2">
        <f>SQRT(horizons_results_fin_use___Copy__2[[#This Row],[X (Position in AU)]]^2+horizons_results_fin_use___Copy__2[[#This Row],[Y (Position in AU)]]^2+horizons_results_fin_use___Copy__2[[#This Row],[Z (Position in AU)]]^2)</f>
        <v>1.0052252452298414</v>
      </c>
    </row>
    <row r="823" spans="1:5" x14ac:dyDescent="0.3">
      <c r="A823" s="1">
        <f t="shared" si="12"/>
        <v>822</v>
      </c>
      <c r="B823" s="1">
        <v>-0.84352711314620454</v>
      </c>
      <c r="C823" s="1">
        <v>-0.50211377143114067</v>
      </c>
      <c r="D823" s="1">
        <v>-0.2176516602679652</v>
      </c>
      <c r="E823" s="2">
        <f>SQRT(horizons_results_fin_use___Copy__2[[#This Row],[X (Position in AU)]]^2+horizons_results_fin_use___Copy__2[[#This Row],[Y (Position in AU)]]^2+horizons_results_fin_use___Copy__2[[#This Row],[Z (Position in AU)]]^2)</f>
        <v>1.0054991174988546</v>
      </c>
    </row>
    <row r="824" spans="1:5" x14ac:dyDescent="0.3">
      <c r="A824" s="1">
        <f t="shared" si="12"/>
        <v>823</v>
      </c>
      <c r="B824" s="1">
        <v>-0.83431877055381221</v>
      </c>
      <c r="C824" s="1">
        <v>-0.5153477959807774</v>
      </c>
      <c r="D824" s="1">
        <v>-0.22338842608018461</v>
      </c>
      <c r="E824" s="2">
        <f>SQRT(horizons_results_fin_use___Copy__2[[#This Row],[X (Position in AU)]]^2+horizons_results_fin_use___Copy__2[[#This Row],[Y (Position in AU)]]^2+horizons_results_fin_use___Copy__2[[#This Row],[Z (Position in AU)]]^2)</f>
        <v>1.0057701281243403</v>
      </c>
    </row>
    <row r="825" spans="1:5" x14ac:dyDescent="0.3">
      <c r="A825" s="1">
        <f t="shared" si="12"/>
        <v>824</v>
      </c>
      <c r="B825" s="1">
        <v>-0.82486636863642349</v>
      </c>
      <c r="C825" s="1">
        <v>-0.52843139961129471</v>
      </c>
      <c r="D825" s="1">
        <v>-0.2290598414264183</v>
      </c>
      <c r="E825" s="2">
        <f>SQRT(horizons_results_fin_use___Copy__2[[#This Row],[X (Position in AU)]]^2+horizons_results_fin_use___Copy__2[[#This Row],[Y (Position in AU)]]^2+horizons_results_fin_use___Copy__2[[#This Row],[Z (Position in AU)]]^2)</f>
        <v>1.0060381111851022</v>
      </c>
    </row>
    <row r="826" spans="1:5" x14ac:dyDescent="0.3">
      <c r="A826" s="1">
        <f t="shared" si="12"/>
        <v>825</v>
      </c>
      <c r="B826" s="1">
        <v>-0.81517299997935933</v>
      </c>
      <c r="C826" s="1">
        <v>-0.54136061885748865</v>
      </c>
      <c r="D826" s="1">
        <v>-0.23466418814388279</v>
      </c>
      <c r="E826" s="2">
        <f>SQRT(horizons_results_fin_use___Copy__2[[#This Row],[X (Position in AU)]]^2+horizons_results_fin_use___Copy__2[[#This Row],[Y (Position in AU)]]^2+horizons_results_fin_use___Copy__2[[#This Row],[Z (Position in AU)]]^2)</f>
        <v>1.0063029468019753</v>
      </c>
    </row>
    <row r="827" spans="1:5" x14ac:dyDescent="0.3">
      <c r="A827" s="1">
        <f t="shared" si="12"/>
        <v>826</v>
      </c>
      <c r="B827" s="1">
        <v>-0.80524189016371062</v>
      </c>
      <c r="C827" s="1">
        <v>-0.5541315651148081</v>
      </c>
      <c r="D827" s="1">
        <v>-0.2401997879631789</v>
      </c>
      <c r="E827" s="2">
        <f>SQRT(horizons_results_fin_use___Copy__2[[#This Row],[X (Position in AU)]]^2+horizons_results_fin_use___Copy__2[[#This Row],[Y (Position in AU)]]^2+horizons_results_fin_use___Copy__2[[#This Row],[Z (Position in AU)]]^2)</f>
        <v>1.0065645688521767</v>
      </c>
    </row>
    <row r="828" spans="1:5" x14ac:dyDescent="0.3">
      <c r="A828" s="1">
        <f t="shared" si="12"/>
        <v>827</v>
      </c>
      <c r="B828" s="1">
        <v>-0.79507639196060798</v>
      </c>
      <c r="C828" s="1">
        <v>-0.56674044179097227</v>
      </c>
      <c r="D828" s="1">
        <v>-0.2456650102956375</v>
      </c>
      <c r="E828" s="2">
        <f>SQRT(horizons_results_fin_use___Copy__2[[#This Row],[X (Position in AU)]]^2+horizons_results_fin_use___Copy__2[[#This Row],[Y (Position in AU)]]^2+horizons_results_fin_use___Copy__2[[#This Row],[Z (Position in AU)]]^2)</f>
        <v>1.0068229708832037</v>
      </c>
    </row>
    <row r="829" spans="1:5" x14ac:dyDescent="0.3">
      <c r="A829" s="1">
        <f t="shared" si="12"/>
        <v>828</v>
      </c>
      <c r="B829" s="1">
        <v>-0.78467997421282865</v>
      </c>
      <c r="C829" s="1">
        <v>-0.57918356127966175</v>
      </c>
      <c r="D829" s="1">
        <v>-0.25105827945692821</v>
      </c>
      <c r="E829" s="2">
        <f>SQRT(horizons_results_fin_use___Copy__2[[#This Row],[X (Position in AU)]]^2+horizons_results_fin_use___Copy__2[[#This Row],[Y (Position in AU)]]^2+horizons_results_fin_use___Copy__2[[#This Row],[Z (Position in AU)]]^2)</f>
        <v>1.0070782091134283</v>
      </c>
    </row>
    <row r="830" spans="1:5" x14ac:dyDescent="0.3">
      <c r="A830" s="1">
        <f t="shared" si="12"/>
        <v>829</v>
      </c>
      <c r="B830" s="1">
        <v>-0.77405620548900256</v>
      </c>
      <c r="C830" s="1">
        <v>-0.5914573601679749</v>
      </c>
      <c r="D830" s="1">
        <v>-0.25637808056965572</v>
      </c>
      <c r="E830" s="2">
        <f>SQRT(horizons_results_fin_use___Copy__2[[#This Row],[X (Position in AU)]]^2+horizons_results_fin_use___Copy__2[[#This Row],[Y (Position in AU)]]^2+horizons_results_fin_use___Copy__2[[#This Row],[Z (Position in AU)]]^2)</f>
        <v>1.0073304017796165</v>
      </c>
    </row>
    <row r="831" spans="1:5" x14ac:dyDescent="0.3">
      <c r="A831" s="1">
        <f t="shared" si="12"/>
        <v>830</v>
      </c>
      <c r="B831" s="1">
        <v>-0.7632087331197619</v>
      </c>
      <c r="C831" s="1">
        <v>-0.60355841126165821</v>
      </c>
      <c r="D831" s="1">
        <v>-0.26162296351794972</v>
      </c>
      <c r="E831" s="2">
        <f>SQRT(horizons_results_fin_use___Copy__2[[#This Row],[X (Position in AU)]]^2+horizons_results_fin_use___Copy__2[[#This Row],[Y (Position in AU)]]^2+horizons_results_fin_use___Copy__2[[#This Row],[Z (Position in AU)]]^2)</f>
        <v>1.0075797244659517</v>
      </c>
    </row>
    <row r="832" spans="1:5" x14ac:dyDescent="0.3">
      <c r="A832" s="1">
        <f t="shared" si="12"/>
        <v>831</v>
      </c>
      <c r="B832" s="1">
        <v>-0.75214125849030189</v>
      </c>
      <c r="C832" s="1">
        <v>-0.61548343123674831</v>
      </c>
      <c r="D832" s="1">
        <v>-0.26679154445983261</v>
      </c>
      <c r="E832" s="2">
        <f>SQRT(horizons_results_fin_use___Copy__2[[#This Row],[X (Position in AU)]]^2+horizons_results_fin_use___Copy__2[[#This Row],[Y (Position in AU)]]^2+horizons_results_fin_use___Copy__2[[#This Row],[Z (Position in AU)]]^2)</f>
        <v>1.007826401244579</v>
      </c>
    </row>
    <row r="833" spans="1:5" x14ac:dyDescent="0.3">
      <c r="A833" s="1">
        <f t="shared" si="12"/>
        <v>832</v>
      </c>
      <c r="B833" s="1">
        <v>-0.74085750961370167</v>
      </c>
      <c r="C833" s="1">
        <v>-0.62722928278696044</v>
      </c>
      <c r="D833" s="1">
        <v>-0.27188250444713952</v>
      </c>
      <c r="E833" s="2">
        <f>SQRT(horizons_results_fin_use___Copy__2[[#This Row],[X (Position in AU)]]^2+horizons_results_fin_use___Copy__2[[#This Row],[Y (Position in AU)]]^2+horizons_results_fin_use___Copy__2[[#This Row],[Z (Position in AU)]]^2)</f>
        <v>1.0080706914502127</v>
      </c>
    </row>
    <row r="834" spans="1:5" x14ac:dyDescent="0.3">
      <c r="A834" s="1">
        <f t="shared" si="12"/>
        <v>833</v>
      </c>
      <c r="B834" s="1">
        <v>-0.7293612123685026</v>
      </c>
      <c r="C834" s="1">
        <v>-0.63879297000592095</v>
      </c>
      <c r="D834" s="1">
        <v>-0.27689458467354883</v>
      </c>
      <c r="E834" s="2">
        <f>SQRT(horizons_results_fin_use___Copy__2[[#This Row],[X (Position in AU)]]^2+horizons_results_fin_use___Copy__2[[#This Row],[Y (Position in AU)]]^2+horizons_results_fin_use___Copy__2[[#This Row],[Z (Position in AU)]]^2)</f>
        <v>1.0083128719093963</v>
      </c>
    </row>
    <row r="835" spans="1:5" x14ac:dyDescent="0.3">
      <c r="A835" s="1">
        <f t="shared" si="12"/>
        <v>834</v>
      </c>
      <c r="B835" s="1">
        <v>-0.71765606262677617</v>
      </c>
      <c r="C835" s="1">
        <v>-0.65017162570509657</v>
      </c>
      <c r="D835" s="1">
        <v>-0.2818265779290019</v>
      </c>
      <c r="E835" s="2">
        <f>SQRT(horizons_results_fin_use___Copy__2[[#This Row],[X (Position in AU)]]^2+horizons_results_fin_use___Copy__2[[#This Row],[Y (Position in AU)]]^2+horizons_results_fin_use___Copy__2[[#This Row],[Z (Position in AU)]]^2)</f>
        <v>1.0085532148201934</v>
      </c>
    </row>
    <row r="836" spans="1:5" x14ac:dyDescent="0.3">
      <c r="A836" s="1">
        <f t="shared" ref="A836:A899" si="13">A835+1</f>
        <v>835</v>
      </c>
      <c r="B836" s="1">
        <v>-0.70574570273252646</v>
      </c>
      <c r="C836" s="1">
        <v>-0.66136248994385105</v>
      </c>
      <c r="D836" s="1">
        <v>-0.28667731622560572</v>
      </c>
      <c r="E836" s="2">
        <f>SQRT(horizons_results_fin_use___Copy__2[[#This Row],[X (Position in AU)]]^2+horizons_results_fin_use___Copy__2[[#This Row],[Y (Position in AU)]]^2+horizons_results_fin_use___Copy__2[[#This Row],[Z (Position in AU)]]^2)</f>
        <v>1.0087919625316579</v>
      </c>
    </row>
    <row r="837" spans="1:5" x14ac:dyDescent="0.3">
      <c r="A837" s="1">
        <f t="shared" si="13"/>
        <v>836</v>
      </c>
      <c r="B837" s="1">
        <v>-0.69363370674801983</v>
      </c>
      <c r="C837" s="1">
        <v>-0.67236288065856997</v>
      </c>
      <c r="D837" s="1">
        <v>-0.2914456554186397</v>
      </c>
      <c r="E837" s="2">
        <f>SQRT(horizons_results_fin_use___Copy__2[[#This Row],[X (Position in AU)]]^2+horizons_results_fin_use___Copy__2[[#This Row],[Y (Position in AU)]]^2+horizons_results_fin_use___Copy__2[[#This Row],[Z (Position in AU)]]^2)</f>
        <v>1.0090293020952805</v>
      </c>
    </row>
    <row r="838" spans="1:5" x14ac:dyDescent="0.3">
      <c r="A838" s="1">
        <f t="shared" si="13"/>
        <v>837</v>
      </c>
      <c r="B838" s="1">
        <v>-0.68132357852355252</v>
      </c>
      <c r="C838" s="1">
        <v>-0.6831701597340003</v>
      </c>
      <c r="D838" s="1">
        <v>-0.29613045879247218</v>
      </c>
      <c r="E838" s="2">
        <f>SQRT(horizons_results_fin_use___Copy__2[[#This Row],[X (Position in AU)]]^2+horizons_results_fin_use___Copy__2[[#This Row],[Y (Position in AU)]]^2+horizons_results_fin_use___Copy__2[[#This Row],[Z (Position in AU)]]^2)</f>
        <v>1.0092653439149484</v>
      </c>
    </row>
    <row r="839" spans="1:5" x14ac:dyDescent="0.3">
      <c r="A839" s="1">
        <f t="shared" si="13"/>
        <v>838</v>
      </c>
      <c r="B839" s="1">
        <v>-0.66881876428810505</v>
      </c>
      <c r="C839" s="1">
        <v>-0.6937817000939972</v>
      </c>
      <c r="D839" s="1">
        <v>-0.30073058244208789</v>
      </c>
      <c r="E839" s="2">
        <f>SQRT(horizons_results_fin_use___Copy__2[[#This Row],[X (Position in AU)]]^2+horizons_results_fin_use___Copy__2[[#This Row],[Y (Position in AU)]]^2+horizons_results_fin_use___Copy__2[[#This Row],[Z (Position in AU)]]^2)</f>
        <v>1.009500108997093</v>
      </c>
    </row>
    <row r="840" spans="1:5" x14ac:dyDescent="0.3">
      <c r="A840" s="1">
        <f t="shared" si="13"/>
        <v>839</v>
      </c>
      <c r="B840" s="1">
        <v>-0.656122677651235</v>
      </c>
      <c r="C840" s="1">
        <v>-0.70419485993817998</v>
      </c>
      <c r="D840" s="1">
        <v>-0.30524486520347299</v>
      </c>
      <c r="E840" s="2">
        <f>SQRT(horizons_results_fin_use___Copy__2[[#This Row],[X (Position in AU)]]^2+horizons_results_fin_use___Copy__2[[#This Row],[Y (Position in AU)]]^2+horizons_results_fin_use___Copy__2[[#This Row],[Z (Position in AU)]]^2)</f>
        <v>1.0097335275332129</v>
      </c>
    </row>
    <row r="841" spans="1:5" x14ac:dyDescent="0.3">
      <c r="A841" s="1">
        <f t="shared" si="13"/>
        <v>840</v>
      </c>
      <c r="B841" s="1">
        <v>-0.64323873143934807</v>
      </c>
      <c r="C841" s="1">
        <v>-0.71440696839633311</v>
      </c>
      <c r="D841" s="1">
        <v>-0.30967212468506078</v>
      </c>
      <c r="E841" s="2">
        <f>SQRT(horizons_results_fin_use___Copy__2[[#This Row],[X (Position in AU)]]^2+horizons_results_fin_use___Copy__2[[#This Row],[Y (Position in AU)]]^2+horizons_results_fin_use___Copy__2[[#This Row],[Z (Position in AU)]]^2)</f>
        <v>1.009965448381231</v>
      </c>
    </row>
    <row r="842" spans="1:5" x14ac:dyDescent="0.3">
      <c r="A842" s="1">
        <f t="shared" si="13"/>
        <v>841</v>
      </c>
      <c r="B842" s="1">
        <v>-0.63017036949258276</v>
      </c>
      <c r="C842" s="1">
        <v>-0.72441532340512949</v>
      </c>
      <c r="D842" s="1">
        <v>-0.31401115917143929</v>
      </c>
      <c r="E842" s="2">
        <f>SQRT(horizons_results_fin_use___Copy__2[[#This Row],[X (Position in AU)]]^2+horizons_results_fin_use___Copy__2[[#This Row],[Y (Position in AU)]]^2+horizons_results_fin_use___Copy__2[[#This Row],[Z (Position in AU)]]^2)</f>
        <v>1.0101956560264786</v>
      </c>
    </row>
    <row r="843" spans="1:5" x14ac:dyDescent="0.3">
      <c r="A843" s="1">
        <f t="shared" si="13"/>
        <v>842</v>
      </c>
      <c r="B843" s="1">
        <v>-0.61692109289195751</v>
      </c>
      <c r="C843" s="1">
        <v>-0.73421719931297991</v>
      </c>
      <c r="D843" s="1">
        <v>-0.31826075370664553</v>
      </c>
      <c r="E843" s="2">
        <f>SQRT(horizons_results_fin_use___Copy__2[[#This Row],[X (Position in AU)]]^2+horizons_results_fin_use___Copy__2[[#This Row],[Y (Position in AU)]]^2+horizons_results_fin_use___Copy__2[[#This Row],[Z (Position in AU)]]^2)</f>
        <v>1.0104238902420732</v>
      </c>
    </row>
    <row r="844" spans="1:5" x14ac:dyDescent="0.3">
      <c r="A844" s="1">
        <f t="shared" si="13"/>
        <v>843</v>
      </c>
      <c r="B844" s="1">
        <v>-0.60349447797833755</v>
      </c>
      <c r="C844" s="1">
        <v>-0.7438098600124543</v>
      </c>
      <c r="D844" s="1">
        <v>-0.32241968810361732</v>
      </c>
      <c r="E844" s="2">
        <f>SQRT(horizons_results_fin_use___Copy__2[[#This Row],[X (Position in AU)]]^2+horizons_results_fin_use___Copy__2[[#This Row],[Y (Position in AU)]]^2+horizons_results_fin_use___Copy__2[[#This Row],[Z (Position in AU)]]^2)</f>
        <v>1.0106498642353476</v>
      </c>
    </row>
    <row r="845" spans="1:5" x14ac:dyDescent="0.3">
      <c r="A845" s="1">
        <f t="shared" si="13"/>
        <v>844</v>
      </c>
      <c r="B845" s="1">
        <v>-0.58989418636242241</v>
      </c>
      <c r="C845" s="1">
        <v>-0.75319057351961394</v>
      </c>
      <c r="D845" s="1">
        <v>-0.32648674493760688</v>
      </c>
      <c r="E845" s="2">
        <f>SQRT(horizons_results_fin_use___Copy__2[[#This Row],[X (Position in AU)]]^2+horizons_results_fin_use___Copy__2[[#This Row],[Y (Position in AU)]]^2+horizons_results_fin_use___Copy__2[[#This Row],[Z (Position in AU)]]^2)</f>
        <v>1.010873278785696</v>
      </c>
    </row>
    <row r="846" spans="1:5" x14ac:dyDescent="0.3">
      <c r="A846" s="1">
        <f t="shared" si="13"/>
        <v>845</v>
      </c>
      <c r="B846" s="1">
        <v>-0.57612396889833251</v>
      </c>
      <c r="C846" s="1">
        <v>-0.76235662516701042</v>
      </c>
      <c r="D846" s="1">
        <v>-0.33046071633892671</v>
      </c>
      <c r="E846" s="2">
        <f>SQRT(horizons_results_fin_use___Copy__2[[#This Row],[X (Position in AU)]]^2+horizons_results_fin_use___Copy__2[[#This Row],[Y (Position in AU)]]^2+horizons_results_fin_use___Copy__2[[#This Row],[Z (Position in AU)]]^2)</f>
        <v>1.0110938317082332</v>
      </c>
    </row>
    <row r="847" spans="1:5" x14ac:dyDescent="0.3">
      <c r="A847" s="1">
        <f t="shared" si="13"/>
        <v>846</v>
      </c>
      <c r="B847" s="1">
        <v>-0.56218766617326565</v>
      </c>
      <c r="C847" s="1">
        <v>-0.77130532808358965</v>
      </c>
      <c r="D847" s="1">
        <v>-0.33434040917557961</v>
      </c>
      <c r="E847" s="2">
        <f>SQRT(horizons_results_fin_use___Copy__2[[#This Row],[X (Position in AU)]]^2+horizons_results_fin_use___Copy__2[[#This Row],[Y (Position in AU)]]^2+horizons_results_fin_use___Copy__2[[#This Row],[Z (Position in AU)]]^2)</f>
        <v>1.0113112232815233</v>
      </c>
    </row>
    <row r="848" spans="1:5" x14ac:dyDescent="0.3">
      <c r="A848" s="1">
        <f t="shared" si="13"/>
        <v>847</v>
      </c>
      <c r="B848" s="1">
        <v>-0.54808920783374393</v>
      </c>
      <c r="C848" s="1">
        <v>-0.78003403086529188</v>
      </c>
      <c r="D848" s="1">
        <v>-0.33812464878640341</v>
      </c>
      <c r="E848" s="2">
        <f>SQRT(horizons_results_fin_use___Copy__2[[#This Row],[X (Position in AU)]]^2+horizons_results_fin_use___Copy__2[[#This Row],[Y (Position in AU)]]^2+horizons_results_fin_use___Copy__2[[#This Row],[Z (Position in AU)]]^2)</f>
        <v>1.0115251589400556</v>
      </c>
    </row>
    <row r="849" spans="1:5" x14ac:dyDescent="0.3">
      <c r="A849" s="1">
        <f t="shared" si="13"/>
        <v>848</v>
      </c>
      <c r="B849" s="1">
        <v>-0.53383261246517311</v>
      </c>
      <c r="C849" s="1">
        <v>-0.78854012315239042</v>
      </c>
      <c r="D849" s="1">
        <v>-0.34181228176111572</v>
      </c>
      <c r="E849" s="2">
        <f>SQRT(horizons_results_fin_use___Copy__2[[#This Row],[X (Position in AU)]]^2+horizons_results_fin_use___Copy__2[[#This Row],[Y (Position in AU)]]^2+horizons_results_fin_use___Copy__2[[#This Row],[Z (Position in AU)]]^2)</f>
        <v>1.0117353507292899</v>
      </c>
    </row>
    <row r="850" spans="1:5" x14ac:dyDescent="0.3">
      <c r="A850" s="1">
        <f t="shared" si="13"/>
        <v>849</v>
      </c>
      <c r="B850" s="1">
        <v>-0.51942198903495662</v>
      </c>
      <c r="C850" s="1">
        <v>-0.79682104029791745</v>
      </c>
      <c r="D850" s="1">
        <v>-0.34540217842477589</v>
      </c>
      <c r="E850" s="2">
        <f>SQRT(horizons_results_fin_use___Copy__2[[#This Row],[X (Position in AU)]]^2+horizons_results_fin_use___Copy__2[[#This Row],[Y (Position in AU)]]^2+horizons_results_fin_use___Copy__2[[#This Row],[Z (Position in AU)]]^2)</f>
        <v>1.0119415189698793</v>
      </c>
    </row>
    <row r="851" spans="1:5" x14ac:dyDescent="0.3">
      <c r="A851" s="1">
        <f t="shared" si="13"/>
        <v>850</v>
      </c>
      <c r="B851" s="1">
        <v>-0.50486154018442508</v>
      </c>
      <c r="C851" s="1">
        <v>-0.80487426854611577</v>
      </c>
      <c r="D851" s="1">
        <v>-0.34889323573105469</v>
      </c>
      <c r="E851" s="2">
        <f>SQRT(horizons_results_fin_use___Copy__2[[#This Row],[X (Position in AU)]]^2+horizons_results_fin_use___Copy__2[[#This Row],[Y (Position in AU)]]^2+horizons_results_fin_use___Copy__2[[#This Row],[Z (Position in AU)]]^2)</f>
        <v>1.0121433954059673</v>
      </c>
    </row>
    <row r="852" spans="1:5" x14ac:dyDescent="0.3">
      <c r="A852" s="1">
        <f t="shared" si="13"/>
        <v>851</v>
      </c>
      <c r="B852" s="1">
        <v>-0.49015556689489148</v>
      </c>
      <c r="C852" s="1">
        <v>-0.81269735218270645</v>
      </c>
      <c r="D852" s="1">
        <v>-0.352284381220071</v>
      </c>
      <c r="E852" s="2">
        <f>SQRT(horizons_results_fin_use___Copy__2[[#This Row],[X (Position in AU)]]^2+horizons_results_fin_use___Copy__2[[#This Row],[Y (Position in AU)]]^2+horizons_results_fin_use___Copy__2[[#This Row],[Z (Position in AU)]]^2)</f>
        <v>1.0123407288331547</v>
      </c>
    </row>
    <row r="853" spans="1:5" x14ac:dyDescent="0.3">
      <c r="A853" s="1">
        <f t="shared" si="13"/>
        <v>852</v>
      </c>
      <c r="B853" s="1">
        <v>-0.47530847324852082</v>
      </c>
      <c r="C853" s="1">
        <v>-0.82028790391666428</v>
      </c>
      <c r="D853" s="1">
        <v>-0.35557457852630858</v>
      </c>
      <c r="E853" s="2">
        <f>SQRT(horizons_results_fin_use___Copy__2[[#This Row],[X (Position in AU)]]^2+horizons_results_fin_use___Copy__2[[#This Row],[Y (Position in AU)]]^2+horizons_results_fin_use___Copy__2[[#This Row],[Z (Position in AU)]]^2)</f>
        <v>1.0125332937479126</v>
      </c>
    </row>
    <row r="854" spans="1:5" x14ac:dyDescent="0.3">
      <c r="A854" s="1">
        <f t="shared" si="13"/>
        <v>853</v>
      </c>
      <c r="B854" s="1">
        <v>-0.46032476924787541</v>
      </c>
      <c r="C854" s="1">
        <v>-0.82764361919620133</v>
      </c>
      <c r="D854" s="1">
        <v>-0.35876283458630298</v>
      </c>
      <c r="E854" s="2">
        <f>SQRT(horizons_results_fin_use___Copy__2[[#This Row],[X (Position in AU)]]^2+horizons_results_fin_use___Copy__2[[#This Row],[Y (Position in AU)]]^2+horizons_results_fin_use___Copy__2[[#This Row],[Z (Position in AU)]]^2)</f>
        <v>1.0127209018578096</v>
      </c>
    </row>
    <row r="855" spans="1:5" x14ac:dyDescent="0.3">
      <c r="A855" s="1">
        <f t="shared" si="13"/>
        <v>854</v>
      </c>
      <c r="B855" s="1">
        <v>-0.44520906919146702</v>
      </c>
      <c r="C855" s="1">
        <v>-0.83476229418436521</v>
      </c>
      <c r="D855" s="1">
        <v>-0.36184820818546531</v>
      </c>
      <c r="E855" s="2">
        <f>SQRT(horizons_results_fin_use___Copy__2[[#This Row],[X (Position in AU)]]^2+horizons_results_fin_use___Copy__2[[#This Row],[Y (Position in AU)]]^2+horizons_results_fin_use___Copy__2[[#This Row],[Z (Position in AU)]]^2)</f>
        <v>1.0129034153606695</v>
      </c>
    </row>
    <row r="856" spans="1:5" x14ac:dyDescent="0.3">
      <c r="A856" s="1">
        <f t="shared" si="13"/>
        <v>855</v>
      </c>
      <c r="B856" s="1">
        <v>-0.42996608326015728</v>
      </c>
      <c r="C856" s="1">
        <v>-0.84164184583815926</v>
      </c>
      <c r="D856" s="1">
        <v>-0.36482981888475541</v>
      </c>
      <c r="E856" s="2">
        <f>SQRT(horizons_results_fin_use___Copy__2[[#This Row],[X (Position in AU)]]^2+horizons_results_fin_use___Copy__2[[#This Row],[Y (Position in AU)]]^2+horizons_results_fin_use___Copy__2[[#This Row],[Z (Position in AU)]]^2)</f>
        <v>1.0130807599433658</v>
      </c>
    </row>
    <row r="857" spans="1:5" x14ac:dyDescent="0.3">
      <c r="A857" s="1">
        <f t="shared" si="13"/>
        <v>856</v>
      </c>
      <c r="B857" s="1">
        <v>-0.41460060097739759</v>
      </c>
      <c r="C857" s="1">
        <v>-0.84828033132669334</v>
      </c>
      <c r="D857" s="1">
        <v>-0.36770685488223609</v>
      </c>
      <c r="E857" s="2">
        <f>SQRT(horizons_results_fin_use___Copy__2[[#This Row],[X (Position in AU)]]^2+horizons_results_fin_use___Copy__2[[#This Row],[Y (Position in AU)]]^2+horizons_results_fin_use___Copy__2[[#This Row],[Z (Position in AU)]]^2)</f>
        <v>1.0132529348459494</v>
      </c>
    </row>
    <row r="858" spans="1:5" x14ac:dyDescent="0.3">
      <c r="A858" s="1">
        <f t="shared" si="13"/>
        <v>857</v>
      </c>
      <c r="B858" s="1">
        <v>-0.39911746693186168</v>
      </c>
      <c r="C858" s="1">
        <v>-0.85467596342200269</v>
      </c>
      <c r="D858" s="1">
        <v>-0.37047857823482649</v>
      </c>
      <c r="E858" s="2">
        <f>SQRT(horizons_results_fin_use___Copy__2[[#This Row],[X (Position in AU)]]^2+horizons_results_fin_use___Copy__2[[#This Row],[Y (Position in AU)]]^2+horizons_results_fin_use___Copy__2[[#This Row],[Z (Position in AU)]]^2)</f>
        <v>1.0134200174618284</v>
      </c>
    </row>
    <row r="859" spans="1:5" x14ac:dyDescent="0.3">
      <c r="A859" s="1">
        <f t="shared" si="13"/>
        <v>858</v>
      </c>
      <c r="B859" s="1">
        <v>-0.38352155101980168</v>
      </c>
      <c r="C859" s="1">
        <v>-0.86082711887862828</v>
      </c>
      <c r="D859" s="1">
        <v>-0.37314432621998811</v>
      </c>
      <c r="E859" s="2">
        <f>SQRT(horizons_results_fin_use___Copy__2[[#This Row],[X (Position in AU)]]^2+horizons_results_fin_use___Copy__2[[#This Row],[Y (Position in AU)]]^2+horizons_results_fin_use___Copy__2[[#This Row],[Z (Position in AU)]]^2)</f>
        <v>1.0135821608945588</v>
      </c>
    </row>
    <row r="860" spans="1:5" x14ac:dyDescent="0.3">
      <c r="A860" s="1">
        <f t="shared" si="13"/>
        <v>859</v>
      </c>
      <c r="B860" s="1">
        <v>-0.36781771672829272</v>
      </c>
      <c r="C860" s="1">
        <v>-0.86673233809568451</v>
      </c>
      <c r="D860" s="1">
        <v>-0.37570350834445609</v>
      </c>
      <c r="E860" s="2">
        <f>SQRT(horizons_results_fin_use___Copy__2[[#This Row],[X (Position in AU)]]^2+horizons_results_fin_use___Copy__2[[#This Row],[Y (Position in AU)]]^2+horizons_results_fin_use___Copy__2[[#This Row],[Z (Position in AU)]]^2)</f>
        <v>1.0137395843225019</v>
      </c>
    </row>
    <row r="861" spans="1:5" x14ac:dyDescent="0.3">
      <c r="A861" s="1">
        <f t="shared" si="13"/>
        <v>860</v>
      </c>
      <c r="B861" s="1">
        <v>-0.35201079119850748</v>
      </c>
      <c r="C861" s="1">
        <v>-0.87239031596862282</v>
      </c>
      <c r="D861" s="1">
        <v>-0.37815559929951742</v>
      </c>
      <c r="E861" s="2">
        <f>SQRT(horizons_results_fin_use___Copy__2[[#This Row],[X (Position in AU)]]^2+horizons_results_fin_use___Copy__2[[#This Row],[Y (Position in AU)]]^2+horizons_results_fin_use___Copy__2[[#This Row],[Z (Position in AU)]]^2)</f>
        <v>1.0138925573243005</v>
      </c>
    </row>
    <row r="862" spans="1:5" x14ac:dyDescent="0.3">
      <c r="A862" s="1">
        <f t="shared" si="13"/>
        <v>861</v>
      </c>
      <c r="B862" s="1">
        <v>-0.33610554013404581</v>
      </c>
      <c r="C862" s="1">
        <v>-0.87779988513000928</v>
      </c>
      <c r="D862" s="1">
        <v>-0.38050012871934352</v>
      </c>
      <c r="E862" s="2">
        <f>SQRT(horizons_results_fin_use___Copy__2[[#This Row],[X (Position in AU)]]^2+horizons_results_fin_use___Copy__2[[#This Row],[Y (Position in AU)]]^2+horizons_results_fin_use___Copy__2[[#This Row],[Z (Position in AU)]]^2)</f>
        <v>1.0140413800227746</v>
      </c>
    </row>
    <row r="863" spans="1:5" x14ac:dyDescent="0.3">
      <c r="A863" s="1">
        <f t="shared" si="13"/>
        <v>862</v>
      </c>
      <c r="B863" s="1">
        <v>-0.320106649623982</v>
      </c>
      <c r="C863" s="1">
        <v>-0.88295999343625287</v>
      </c>
      <c r="D863" s="1">
        <v>-0.38273666882286761</v>
      </c>
      <c r="E863" s="2">
        <f>SQRT(horizons_results_fin_use___Copy__2[[#This Row],[X (Position in AU)]]^2+horizons_results_fin_use___Copy__2[[#This Row],[Y (Position in AU)]]^2+horizons_results_fin_use___Copy__2[[#This Row],[Z (Position in AU)]]^2)</f>
        <v>1.014186360983061</v>
      </c>
    </row>
    <row r="864" spans="1:5" x14ac:dyDescent="0.3">
      <c r="A864" s="1">
        <f t="shared" si="13"/>
        <v>863</v>
      </c>
      <c r="B864" s="1">
        <v>-0.30401871614820369</v>
      </c>
      <c r="C864" s="1">
        <v>-0.88786967774597747</v>
      </c>
      <c r="D864" s="1">
        <v>-0.38486482103677222</v>
      </c>
      <c r="E864" s="2">
        <f>SQRT(horizons_results_fin_use___Copy__2[[#This Row],[X (Position in AU)]]^2+horizons_results_fin_use___Copy__2[[#This Row],[Y (Position in AU)]]^2+horizons_results_fin_use___Copy__2[[#This Row],[Z (Position in AU)]]^2)</f>
        <v>1.0143277946013383</v>
      </c>
    </row>
    <row r="865" spans="1:5" x14ac:dyDescent="0.3">
      <c r="A865" s="1">
        <f t="shared" si="13"/>
        <v>864</v>
      </c>
      <c r="B865" s="1">
        <v>-0.28784624552247651</v>
      </c>
      <c r="C865" s="1">
        <v>-0.89252803615351872</v>
      </c>
      <c r="D865" s="1">
        <v>-0.38688420270645268</v>
      </c>
      <c r="E865" s="2">
        <f>SQRT(horizons_results_fin_use___Copy__2[[#This Row],[X (Position in AU)]]^2+horizons_results_fin_use___Copy__2[[#This Row],[Y (Position in AU)]]^2+horizons_results_fin_use___Copy__2[[#This Row],[Z (Position in AU)]]^2)</f>
        <v>1.0144659396378226</v>
      </c>
    </row>
    <row r="866" spans="1:5" x14ac:dyDescent="0.3">
      <c r="A866" s="1">
        <f t="shared" si="13"/>
        <v>865</v>
      </c>
      <c r="B866" s="1">
        <v>-0.27159366102043059</v>
      </c>
      <c r="C866" s="1">
        <v>-0.89693420112936739</v>
      </c>
      <c r="D866" s="1">
        <v>-0.38879443509105188</v>
      </c>
      <c r="E866" s="2">
        <f>SQRT(horizons_results_fin_use___Copy__2[[#This Row],[X (Position in AU)]]^2+horizons_results_fin_use___Copy__2[[#This Row],[Y (Position in AU)]]^2+horizons_results_fin_use___Copy__2[[#This Row],[Z (Position in AU)]]^2)</f>
        <v>1.0146010006992046</v>
      </c>
    </row>
    <row r="867" spans="1:5" x14ac:dyDescent="0.3">
      <c r="A867" s="1">
        <f t="shared" si="13"/>
        <v>866</v>
      </c>
      <c r="B867" s="1">
        <v>-0.25526532001071878</v>
      </c>
      <c r="C867" s="1">
        <v>-0.90108731633589889</v>
      </c>
      <c r="D867" s="1">
        <v>-0.39059513390605438</v>
      </c>
      <c r="E867" s="2">
        <f>SQRT(horizons_results_fin_use___Copy__2[[#This Row],[X (Position in AU)]]^2+horizons_results_fin_use___Copy__2[[#This Row],[Y (Position in AU)]]^2+horizons_results_fin_use___Copy__2[[#This Row],[Z (Position in AU)]]^2)</f>
        <v>1.0147331146132441</v>
      </c>
    </row>
    <row r="868" spans="1:5" x14ac:dyDescent="0.3">
      <c r="A868" s="1">
        <f t="shared" si="13"/>
        <v>867</v>
      </c>
      <c r="B868" s="1">
        <v>-0.23886553712983399</v>
      </c>
      <c r="C868" s="1">
        <v>-0.90498651979977029</v>
      </c>
      <c r="D868" s="1">
        <v>-0.39228590351279691</v>
      </c>
      <c r="E868" s="2">
        <f>SQRT(horizons_results_fin_use___Copy__2[[#This Row],[X (Position in AU)]]^2+horizons_results_fin_use___Copy__2[[#This Row],[Y (Position in AU)]]^2+horizons_results_fin_use___Copy__2[[#This Row],[Z (Position in AU)]]^2)</f>
        <v>1.0148623433463653</v>
      </c>
    </row>
    <row r="869" spans="1:5" x14ac:dyDescent="0.3">
      <c r="A869" s="1">
        <f t="shared" si="13"/>
        <v>868</v>
      </c>
      <c r="B869" s="1">
        <v>-0.22239861071273739</v>
      </c>
      <c r="C869" s="1">
        <v>-0.90863093527259486</v>
      </c>
      <c r="D869" s="1">
        <v>-0.39386633532754728</v>
      </c>
      <c r="E869" s="2">
        <f>SQRT(horizons_results_fin_use___Copy__2[[#This Row],[X (Position in AU)]]^2+horizons_results_fin_use___Copy__2[[#This Row],[Y (Position in AU)]]^2+horizons_results_fin_use___Copy__2[[#This Row],[Z (Position in AU)]]^2)</f>
        <v>1.0149886741661989</v>
      </c>
    </row>
    <row r="870" spans="1:5" x14ac:dyDescent="0.3">
      <c r="A870" s="1">
        <f t="shared" si="13"/>
        <v>869</v>
      </c>
      <c r="B870" s="1">
        <v>-0.20586884858905799</v>
      </c>
      <c r="C870" s="1">
        <v>-0.9120196720703716</v>
      </c>
      <c r="D870" s="1">
        <v>-0.39533601022912629</v>
      </c>
      <c r="E870" s="2">
        <f>SQRT(horizons_results_fin_use___Copy__2[[#This Row],[X (Position in AU)]]^2+horizons_results_fin_use___Copy__2[[#This Row],[Y (Position in AU)]]^2+horizons_results_fin_use___Copy__2[[#This Row],[Z (Position in AU)]]^2)</f>
        <v>1.0151120263530604</v>
      </c>
    </row>
    <row r="871" spans="1:5" x14ac:dyDescent="0.3">
      <c r="A871" s="1">
        <f t="shared" si="13"/>
        <v>870</v>
      </c>
      <c r="B871" s="1">
        <v>-0.18928058982651991</v>
      </c>
      <c r="C871" s="1">
        <v>-0.91515183199095862</v>
      </c>
      <c r="D871" s="1">
        <v>-0.3966945039794193</v>
      </c>
      <c r="E871" s="2">
        <f>SQRT(horizons_results_fin_use___Copy__2[[#This Row],[X (Position in AU)]]^2+horizons_results_fin_use___Copy__2[[#This Row],[Y (Position in AU)]]^2+horizons_results_fin_use___Copy__2[[#This Row],[Z (Position in AU)]]^2)</f>
        <v>1.0152322624744352</v>
      </c>
    </row>
    <row r="872" spans="1:5" x14ac:dyDescent="0.3">
      <c r="A872" s="1">
        <f t="shared" si="13"/>
        <v>871</v>
      </c>
      <c r="B872" s="1">
        <v>-0.17263822039923429</v>
      </c>
      <c r="C872" s="1">
        <v>-0.91802652073730096</v>
      </c>
      <c r="D872" s="1">
        <v>-0.39794139424013808</v>
      </c>
      <c r="E872" s="2">
        <f>SQRT(horizons_results_fin_use___Copy__2[[#This Row],[X (Position in AU)]]^2+horizons_results_fin_use___Copy__2[[#This Row],[Y (Position in AU)]]^2+horizons_results_fin_use___Copy__2[[#This Row],[Z (Position in AU)]]^2)</f>
        <v>1.0153492015899916</v>
      </c>
    </row>
    <row r="873" spans="1:5" x14ac:dyDescent="0.3">
      <c r="A873" s="1">
        <f t="shared" si="13"/>
        <v>872</v>
      </c>
      <c r="B873" s="1">
        <v>-0.15594618246953329</v>
      </c>
      <c r="C873" s="1">
        <v>-0.92064286099219195</v>
      </c>
      <c r="D873" s="1">
        <v>-0.39907626779254213</v>
      </c>
      <c r="E873" s="2">
        <f>SQRT(horizons_results_fin_use___Copy__2[[#This Row],[X (Position in AU)]]^2+horizons_results_fin_use___Copy__2[[#This Row],[Y (Position in AU)]]^2+horizons_results_fin_use___Copy__2[[#This Row],[Z (Position in AU)]]^2)</f>
        <v>1.0154626319259288</v>
      </c>
    </row>
    <row r="874" spans="1:5" x14ac:dyDescent="0.3">
      <c r="A874" s="1">
        <f t="shared" si="13"/>
        <v>873</v>
      </c>
      <c r="B874" s="1">
        <v>-0.13920897836682691</v>
      </c>
      <c r="C874" s="1">
        <v>-0.92300000480896338</v>
      </c>
      <c r="D874" s="1">
        <v>-0.40009872694358078</v>
      </c>
      <c r="E874" s="2">
        <f>SQRT(horizons_results_fin_use___Copy__2[[#This Row],[X (Position in AU)]]^2+horizons_results_fin_use___Copy__2[[#This Row],[Y (Position in AU)]]^2+horizons_results_fin_use___Copy__2[[#This Row],[Z (Position in AU)]]^2)</f>
        <v>1.0155723213228864</v>
      </c>
    </row>
    <row r="875" spans="1:5" x14ac:dyDescent="0.3">
      <c r="A875" s="1">
        <f t="shared" si="13"/>
        <v>874</v>
      </c>
      <c r="B875" s="1">
        <v>-0.1224311710995299</v>
      </c>
      <c r="C875" s="1">
        <v>-0.92509714392404818</v>
      </c>
      <c r="D875" s="1">
        <v>-0.40100839462146892</v>
      </c>
      <c r="E875" s="2">
        <f>SQRT(horizons_results_fin_use___Copy__2[[#This Row],[X (Position in AU)]]^2+horizons_results_fin_use___Copy__2[[#This Row],[Y (Position in AU)]]^2+horizons_results_fin_use___Copy__2[[#This Row],[Z (Position in AU)]]^2)</f>
        <v>1.0156780247254151</v>
      </c>
    </row>
    <row r="876" spans="1:5" x14ac:dyDescent="0.3">
      <c r="A876" s="1">
        <f t="shared" si="13"/>
        <v>875</v>
      </c>
      <c r="B876" s="1">
        <v>-0.10561738336698411</v>
      </c>
      <c r="C876" s="1">
        <v>-0.92693351757789522</v>
      </c>
      <c r="D876" s="1">
        <v>-0.40180491814442321</v>
      </c>
      <c r="E876" s="2">
        <f>SQRT(horizons_results_fin_use___Copy__2[[#This Row],[X (Position in AU)]]^2+horizons_results_fin_use___Copy__2[[#This Row],[Y (Position in AU)]]^2+horizons_results_fin_use___Copy__2[[#This Row],[Z (Position in AU)]]^2)</f>
        <v>1.0157794888279963</v>
      </c>
    </row>
    <row r="877" spans="1:5" x14ac:dyDescent="0.3">
      <c r="A877" s="1">
        <f t="shared" si="13"/>
        <v>876</v>
      </c>
      <c r="B877" s="1">
        <v>-8.8772296750330021E-2</v>
      </c>
      <c r="C877" s="1">
        <v>-0.92850841823107488</v>
      </c>
      <c r="D877" s="1">
        <v>-0.40248797200214531</v>
      </c>
      <c r="E877" s="2">
        <f>SQRT(horizons_results_fin_use___Copy__2[[#This Row],[X (Position in AU)]]^2+horizons_results_fin_use___Copy__2[[#This Row],[Y (Position in AU)]]^2+horizons_results_fin_use___Copy__2[[#This Row],[Z (Position in AU)]]^2)</f>
        <v>1.0158764545960799</v>
      </c>
    </row>
    <row r="878" spans="1:5" x14ac:dyDescent="0.3">
      <c r="A878" s="1">
        <f t="shared" si="13"/>
        <v>877</v>
      </c>
      <c r="B878" s="1">
        <v>-7.1900652254313593E-2</v>
      </c>
      <c r="C878" s="1">
        <v>-0.92982119613653491</v>
      </c>
      <c r="D878" s="1">
        <v>-0.40305726021694999</v>
      </c>
      <c r="E878" s="2">
        <f>SQRT(horizons_results_fin_use___Copy__2[[#This Row],[X (Position in AU)]]^2+horizons_results_fin_use___Copy__2[[#This Row],[Y (Position in AU)]]^2+horizons_results_fin_use___Copy__2[[#This Row],[Z (Position in AU)]]^2)</f>
        <v>1.0159686587651051</v>
      </c>
    </row>
    <row r="879" spans="1:5" x14ac:dyDescent="0.3">
      <c r="A879" s="1">
        <f t="shared" si="13"/>
        <v>878</v>
      </c>
      <c r="B879" s="1">
        <v>-5.5007252745027067E-2</v>
      </c>
      <c r="C879" s="1">
        <v>-0.93087126411683829</v>
      </c>
      <c r="D879" s="1">
        <v>-0.40351251897842239</v>
      </c>
      <c r="E879" s="2">
        <f>SQRT(horizons_results_fin_use___Copy__2[[#This Row],[X (Position in AU)]]^2+horizons_results_fin_use___Copy__2[[#This Row],[Y (Position in AU)]]^2+horizons_results_fin_use___Copy__2[[#This Row],[Z (Position in AU)]]^2)</f>
        <v>1.0160558356632512</v>
      </c>
    </row>
    <row r="880" spans="1:5" x14ac:dyDescent="0.3">
      <c r="A880" s="1">
        <f t="shared" si="13"/>
        <v>879</v>
      </c>
      <c r="B880" s="1">
        <v>-3.8096967075924373E-2</v>
      </c>
      <c r="C880" s="1">
        <v>-0.9316581041236166</v>
      </c>
      <c r="D880" s="1">
        <v>-0.40385352028427612</v>
      </c>
      <c r="E880" s="2">
        <f>SQRT(horizons_results_fin_use___Copy__2[[#This Row],[X (Position in AU)]]^2+horizons_results_fin_use___Copy__2[[#This Row],[Y (Position in AU)]]^2+horizons_results_fin_use___Copy__2[[#This Row],[Z (Position in AU)]]^2)</f>
        <v>1.0161377208457512</v>
      </c>
    </row>
    <row r="881" spans="1:5" x14ac:dyDescent="0.3">
      <c r="A881" s="1">
        <f t="shared" si="13"/>
        <v>880</v>
      </c>
      <c r="B881" s="1">
        <v>-2.1174734771299549E-2</v>
      </c>
      <c r="C881" s="1">
        <v>-0.93218127716157395</v>
      </c>
      <c r="D881" s="1">
        <v>-0.4040800772361241</v>
      </c>
      <c r="E881" s="2">
        <f>SQRT(horizons_results_fin_use___Copy__2[[#This Row],[X (Position in AU)]]^2+horizons_results_fin_use___Copy__2[[#This Row],[Y (Position in AU)]]^2+horizons_results_fin_use___Copy__2[[#This Row],[Z (Position in AU)]]^2)</f>
        <v>1.0162140580125676</v>
      </c>
    </row>
    <row r="882" spans="1:5" x14ac:dyDescent="0.3">
      <c r="A882" s="1">
        <f t="shared" si="13"/>
        <v>881</v>
      </c>
      <c r="B882" s="1">
        <v>-4.2455690730395044E-3</v>
      </c>
      <c r="C882" s="1">
        <v>-0.93244043776324215</v>
      </c>
      <c r="D882" s="1">
        <v>-0.40419205135014119</v>
      </c>
      <c r="E882" s="2">
        <f>SQRT(horizons_results_fin_use___Copy__2[[#This Row],[X (Position in AU)]]^2+horizons_results_fin_use___Copy__2[[#This Row],[Y (Position in AU)]]^2+horizons_results_fin_use___Copy__2[[#This Row],[Z (Position in AU)]]^2)</f>
        <v>1.0162846103368366</v>
      </c>
    </row>
    <row r="883" spans="1:5" x14ac:dyDescent="0.3">
      <c r="A883" s="1">
        <f t="shared" si="13"/>
        <v>882</v>
      </c>
      <c r="B883" s="1">
        <v>1.268544480138002E-2</v>
      </c>
      <c r="C883" s="1">
        <v>-0.93243535317203108</v>
      </c>
      <c r="D883" s="1">
        <v>-0.40418936166190161</v>
      </c>
      <c r="E883" s="2">
        <f>SQRT(horizons_results_fin_use___Copy__2[[#This Row],[X (Position in AU)]]^2+horizons_results_fin_use___Copy__2[[#This Row],[Y (Position in AU)]]^2+horizons_results_fin_use___Copy__2[[#This Row],[Z (Position in AU)]]^2)</f>
        <v>1.0163491764327428</v>
      </c>
    </row>
    <row r="884" spans="1:5" x14ac:dyDescent="0.3">
      <c r="A884" s="1">
        <f t="shared" si="13"/>
        <v>883</v>
      </c>
      <c r="B884" s="1">
        <v>2.9613159655769571E-2</v>
      </c>
      <c r="C884" s="1">
        <v>-0.93216592564527678</v>
      </c>
      <c r="D884" s="1">
        <v>-0.40407199454221632</v>
      </c>
      <c r="E884" s="2">
        <f>SQRT(horizons_results_fin_use___Copy__2[[#This Row],[X (Position in AU)]]^2+horizons_results_fin_use___Copy__2[[#This Row],[Y (Position in AU)]]^2+horizons_results_fin_use___Copy__2[[#This Row],[Z (Position in AU)]]^2)</f>
        <v>1.0164076096390851</v>
      </c>
    </row>
    <row r="885" spans="1:5" x14ac:dyDescent="0.3">
      <c r="A885" s="1">
        <f t="shared" si="13"/>
        <v>884</v>
      </c>
      <c r="B885" s="1">
        <v>4.6532387030842733E-2</v>
      </c>
      <c r="C885" s="1">
        <v>-0.93163221418264774</v>
      </c>
      <c r="D885" s="1">
        <v>-0.40384001222991978</v>
      </c>
      <c r="E885" s="2">
        <f>SQRT(horizons_results_fin_use___Copy__2[[#This Row],[X (Position in AU)]]^2+horizons_results_fin_use___Copy__2[[#This Row],[Y (Position in AU)]]^2+horizons_results_fin_use___Copy__2[[#This Row],[Z (Position in AU)]]^2)</f>
        <v>1.0164598373883313</v>
      </c>
    </row>
    <row r="886" spans="1:5" x14ac:dyDescent="0.3">
      <c r="A886" s="1">
        <f t="shared" si="13"/>
        <v>885</v>
      </c>
      <c r="B886" s="1">
        <v>6.3437928485660308E-2</v>
      </c>
      <c r="C886" s="1">
        <v>-0.93083445046011504</v>
      </c>
      <c r="D886" s="1">
        <v>-0.40349355760557842</v>
      </c>
      <c r="E886" s="2">
        <f>SQRT(horizons_results_fin_use___Copy__2[[#This Row],[X (Position in AU)]]^2+horizons_results_fin_use___Copy__2[[#This Row],[Y (Position in AU)]]^2+horizons_results_fin_use___Copy__2[[#This Row],[Z (Position in AU)]]^2)</f>
        <v>1.01650587601014</v>
      </c>
    </row>
    <row r="887" spans="1:5" x14ac:dyDescent="0.3">
      <c r="A887" s="1">
        <f t="shared" si="13"/>
        <v>886</v>
      </c>
      <c r="B887" s="1">
        <v>8.0324613740189468E-2</v>
      </c>
      <c r="C887" s="1">
        <v>-0.92977304395735927</v>
      </c>
      <c r="D887" s="1">
        <v>-0.4030328531627097</v>
      </c>
      <c r="E887" s="2">
        <f>SQRT(horizons_results_fin_use___Copy__2[[#This Row],[X (Position in AU)]]^2+horizons_results_fin_use___Copy__2[[#This Row],[Y (Position in AU)]]^2+horizons_results_fin_use___Copy__2[[#This Row],[Z (Position in AU)]]^2)</f>
        <v>1.0165458364337137</v>
      </c>
    </row>
    <row r="888" spans="1:5" x14ac:dyDescent="0.3">
      <c r="A888" s="1">
        <f t="shared" si="13"/>
        <v>887</v>
      </c>
      <c r="B888" s="1">
        <v>9.7187339151450697E-2</v>
      </c>
      <c r="C888" s="1">
        <v>-0.92844857366705891</v>
      </c>
      <c r="D888" s="1">
        <v>-0.40245819354365048</v>
      </c>
      <c r="E888" s="2">
        <f>SQRT(horizons_results_fin_use___Copy__2[[#This Row],[X (Position in AU)]]^2+horizons_results_fin_use___Copy__2[[#This Row],[Y (Position in AU)]]^2+horizons_results_fin_use___Copy__2[[#This Row],[Z (Position in AU)]]^2)</f>
        <v>1.0165799183468822</v>
      </c>
    </row>
    <row r="889" spans="1:5" x14ac:dyDescent="0.3">
      <c r="A889" s="1">
        <f t="shared" si="13"/>
        <v>888</v>
      </c>
      <c r="B889" s="1">
        <v>0.1140210995328988</v>
      </c>
      <c r="C889" s="1">
        <v>-0.92686176745866433</v>
      </c>
      <c r="D889" s="1">
        <v>-0.4017699328086925</v>
      </c>
      <c r="E889" s="2">
        <f>SQRT(horizons_results_fin_use___Copy__2[[#This Row],[X (Position in AU)]]^2+horizons_results_fin_use___Copy__2[[#This Row],[Y (Position in AU)]]^2+horizons_results_fin_use___Copy__2[[#This Row],[Z (Position in AU)]]^2)</f>
        <v>1.0166083936425037</v>
      </c>
    </row>
    <row r="890" spans="1:5" x14ac:dyDescent="0.3">
      <c r="A890" s="1">
        <f t="shared" si="13"/>
        <v>889</v>
      </c>
      <c r="B890" s="1">
        <v>0.13082100849812769</v>
      </c>
      <c r="C890" s="1">
        <v>-0.92501347330096306</v>
      </c>
      <c r="D890" s="1">
        <v>-0.40096846889773419</v>
      </c>
      <c r="E890" s="2">
        <f>SQRT(horizons_results_fin_use___Copy__2[[#This Row],[X (Position in AU)]]^2+horizons_results_fin_use___Copy__2[[#This Row],[Y (Position in AU)]]^2+horizons_results_fin_use___Copy__2[[#This Row],[Z (Position in AU)]]^2)</f>
        <v>1.0166315827786248</v>
      </c>
    </row>
    <row r="891" spans="1:5" x14ac:dyDescent="0.3">
      <c r="A891" s="1">
        <f t="shared" si="13"/>
        <v>890</v>
      </c>
      <c r="B891" s="1">
        <v>0.14758230597451641</v>
      </c>
      <c r="C891" s="1">
        <v>-0.92290462771805082</v>
      </c>
      <c r="D891" s="1">
        <v>-0.40005422797704221</v>
      </c>
      <c r="E891" s="2">
        <f>SQRT(horizons_results_fin_use___Copy__2[[#This Row],[X (Position in AU)]]^2+horizons_results_fin_use___Copy__2[[#This Row],[Y (Position in AU)]]^2+horizons_results_fin_use___Copy__2[[#This Row],[Z (Position in AU)]]^2)</f>
        <v>1.01664982871314</v>
      </c>
    </row>
    <row r="892" spans="1:5" x14ac:dyDescent="0.3">
      <c r="A892" s="1">
        <f t="shared" si="13"/>
        <v>891</v>
      </c>
      <c r="B892" s="1">
        <v>0.1643003544582326</v>
      </c>
      <c r="C892" s="1">
        <v>-0.9205362260260419</v>
      </c>
      <c r="D892" s="1">
        <v>-0.39902765069440699</v>
      </c>
      <c r="E892" s="2">
        <f>SQRT(horizons_results_fin_use___Copy__2[[#This Row],[X (Position in AU)]]^2+horizons_results_fin_use___Copy__2[[#This Row],[Y (Position in AU)]]^2+horizons_results_fin_use___Copy__2[[#This Row],[Z (Position in AU)]]^2)</f>
        <v>1.0166634723053969</v>
      </c>
    </row>
    <row r="893" spans="1:5" x14ac:dyDescent="0.3">
      <c r="A893" s="1">
        <f t="shared" si="13"/>
        <v>892</v>
      </c>
      <c r="B893" s="1">
        <v>0.18097062696275251</v>
      </c>
      <c r="C893" s="1">
        <v>-0.9179092971131505</v>
      </c>
      <c r="D893" s="1">
        <v>-0.39788918138469709</v>
      </c>
      <c r="E893" s="2">
        <f>SQRT(horizons_results_fin_use___Copy__2[[#This Row],[X (Position in AU)]]^2+horizons_results_fin_use___Copy__2[[#This Row],[Y (Position in AU)]]^2+horizons_results_fin_use___Copy__2[[#This Row],[Z (Position in AU)]]^2)</f>
        <v>1.0166728314522004</v>
      </c>
    </row>
    <row r="894" spans="1:5" x14ac:dyDescent="0.3">
      <c r="A894" s="1">
        <f t="shared" si="13"/>
        <v>893</v>
      </c>
      <c r="B894" s="1">
        <v>0.19758868961212231</v>
      </c>
      <c r="C894" s="1">
        <v>-0.91502488390632331</v>
      </c>
      <c r="D894" s="1">
        <v>-0.39663926049494408</v>
      </c>
      <c r="E894" s="2">
        <f>SQRT(horizons_results_fin_use___Copy__2[[#This Row],[X (Position in AU)]]^2+horizons_results_fin_use___Copy__2[[#This Row],[Y (Position in AU)]]^2+horizons_results_fin_use___Copy__2[[#This Row],[Z (Position in AU)]]^2)</f>
        <v>1.0166781847745097</v>
      </c>
    </row>
    <row r="895" spans="1:5" x14ac:dyDescent="0.3">
      <c r="A895" s="1">
        <f t="shared" si="13"/>
        <v>894</v>
      </c>
      <c r="B895" s="1">
        <v>0.21415018121662971</v>
      </c>
      <c r="C895" s="1">
        <v>-0.9118840297379367</v>
      </c>
      <c r="D895" s="1">
        <v>-0.39527832011167408</v>
      </c>
      <c r="E895" s="2">
        <f>SQRT(horizons_results_fin_use___Copy__2[[#This Row],[X (Position in AU)]]^2+horizons_results_fin_use___Copy__2[[#This Row],[Y (Position in AU)]]^2+horizons_results_fin_use___Copy__2[[#This Row],[Z (Position in AU)]]^2)</f>
        <v>1.0166797598833768</v>
      </c>
    </row>
    <row r="896" spans="1:5" x14ac:dyDescent="0.3">
      <c r="A896" s="1">
        <f t="shared" si="13"/>
        <v>895</v>
      </c>
      <c r="B896" s="1">
        <v>0.23065079161791899</v>
      </c>
      <c r="C896" s="1">
        <v>-0.90848777048566332</v>
      </c>
      <c r="D896" s="1">
        <v>-0.39380678236199201</v>
      </c>
      <c r="E896" s="2">
        <f>SQRT(horizons_results_fin_use___Copy__2[[#This Row],[X (Position in AU)]]^2+horizons_results_fin_use___Copy__2[[#This Row],[Y (Position in AU)]]^2+horizons_results_fin_use___Copy__2[[#This Row],[Z (Position in AU)]]^2)</f>
        <v>1.0166777260421758</v>
      </c>
    </row>
    <row r="897" spans="1:5" x14ac:dyDescent="0.3">
      <c r="A897" s="1">
        <f t="shared" si="13"/>
        <v>896</v>
      </c>
      <c r="B897" s="1">
        <v>0.24708624035291701</v>
      </c>
      <c r="C897" s="1">
        <v>-0.904837132230635</v>
      </c>
      <c r="D897" s="1">
        <v>-0.39222506042069571</v>
      </c>
      <c r="E897" s="2">
        <f>SQRT(horizons_results_fin_use___Copy__2[[#This Row],[X (Position in AU)]]^2+horizons_results_fin_use___Copy__2[[#This Row],[Y (Position in AU)]]^2+horizons_results_fin_use___Copy__2[[#This Row],[Z (Position in AU)]]^2)</f>
        <v>1.0166721910513328</v>
      </c>
    </row>
    <row r="898" spans="1:5" x14ac:dyDescent="0.3">
      <c r="A898" s="1">
        <f t="shared" si="13"/>
        <v>897</v>
      </c>
      <c r="B898" s="1">
        <v>0.26345225713411319</v>
      </c>
      <c r="C898" s="1">
        <v>-0.90093313395343999</v>
      </c>
      <c r="D898" s="1">
        <v>-0.39053356175260329</v>
      </c>
      <c r="E898" s="2">
        <f>SQRT(horizons_results_fin_use___Copy__2[[#This Row],[X (Position in AU)]]^2+horizons_results_fin_use___Copy__2[[#This Row],[Y (Position in AU)]]^2+horizons_results_fin_use___Copy__2[[#This Row],[Z (Position in AU)]]^2)</f>
        <v>1.016663202097627</v>
      </c>
    </row>
    <row r="899" spans="1:5" x14ac:dyDescent="0.3">
      <c r="A899" s="1">
        <f t="shared" si="13"/>
        <v>898</v>
      </c>
      <c r="B899" s="1">
        <v>0.27974456550574639</v>
      </c>
      <c r="C899" s="1">
        <v>-0.89677679439065794</v>
      </c>
      <c r="D899" s="1">
        <v>-0.38873269304277669</v>
      </c>
      <c r="E899" s="2">
        <f>SQRT(horizons_results_fin_use___Copy__2[[#This Row],[X (Position in AU)]]^2+horizons_results_fin_use___Copy__2[[#This Row],[Y (Position in AU)]]^2+horizons_results_fin_use___Copy__2[[#This Row],[Z (Position in AU)]]^2)</f>
        <v>1.0166507500257267</v>
      </c>
    </row>
    <row r="900" spans="1:5" x14ac:dyDescent="0.3">
      <c r="A900" s="1">
        <f t="shared" ref="A900:A963" si="14">A899+1</f>
        <v>899</v>
      </c>
      <c r="B900" s="1">
        <v>0.29595887062692833</v>
      </c>
      <c r="C900" s="1">
        <v>-0.89236914174746029</v>
      </c>
      <c r="D900" s="1">
        <v>-0.38682286610199867</v>
      </c>
      <c r="E900" s="2">
        <f>SQRT(horizons_results_fin_use___Copy__2[[#This Row],[X (Position in AU)]]^2+horizons_results_fin_use___Copy__2[[#This Row],[Y (Position in AU)]]^2+horizons_results_fin_use___Copy__2[[#This Row],[Z (Position in AU)]]^2)</f>
        <v>1.0166347761045904</v>
      </c>
    </row>
    <row r="901" spans="1:5" x14ac:dyDescent="0.3">
      <c r="A901" s="1">
        <f t="shared" si="14"/>
        <v>900</v>
      </c>
      <c r="B901" s="1">
        <v>0.31209085147127857</v>
      </c>
      <c r="C901" s="1">
        <v>-0.88771122471780473</v>
      </c>
      <c r="D901" s="1">
        <v>-0.38480450398084848</v>
      </c>
      <c r="E901" s="2">
        <f>SQRT(horizons_results_fin_use___Copy__2[[#This Row],[X (Position in AU)]]^2+horizons_results_fin_use___Copy__2[[#This Row],[Y (Position in AU)]]^2+horizons_results_fin_use___Copy__2[[#This Row],[Z (Position in AU)]]^2)</f>
        <v>1.0166151800686429</v>
      </c>
    </row>
    <row r="902" spans="1:5" x14ac:dyDescent="0.3">
      <c r="A902" s="1">
        <f t="shared" si="14"/>
        <v>901</v>
      </c>
      <c r="B902" s="1">
        <v>0.32813615700008802</v>
      </c>
      <c r="C902" s="1">
        <v>-0.88280412333729863</v>
      </c>
      <c r="D902" s="1">
        <v>-0.38267804662995358</v>
      </c>
      <c r="E902" s="2">
        <f>SQRT(horizons_results_fin_use___Copy__2[[#This Row],[X (Position in AU)]]^2+horizons_results_fin_use___Copy__2[[#This Row],[Y (Position in AU)]]^2+horizons_results_fin_use___Copy__2[[#This Row],[Z (Position in AU)]]^2)</f>
        <v>1.0165918281614503</v>
      </c>
    </row>
    <row r="903" spans="1:5" x14ac:dyDescent="0.3">
      <c r="A903" s="1">
        <f t="shared" si="14"/>
        <v>902</v>
      </c>
      <c r="B903" s="1">
        <v>0.34409040527868889</v>
      </c>
      <c r="C903" s="1">
        <v>-0.87764895857270675</v>
      </c>
      <c r="D903" s="1">
        <v>-0.38044395568021111</v>
      </c>
      <c r="E903" s="2">
        <f>SQRT(horizons_results_fin_use___Copy__2[[#This Row],[X (Position in AU)]]^2+horizons_results_fin_use___Copy__2[[#This Row],[Y (Position in AU)]]^2+horizons_results_fin_use___Copy__2[[#This Row],[Z (Position in AU)]]^2)</f>
        <v>1.0165645601250397</v>
      </c>
    </row>
    <row r="904" spans="1:5" x14ac:dyDescent="0.3">
      <c r="A904" s="1">
        <f t="shared" si="14"/>
        <v>903</v>
      </c>
      <c r="B904" s="1">
        <v>0.35994918419815869</v>
      </c>
      <c r="C904" s="1">
        <v>-0.87224690011498007</v>
      </c>
      <c r="D904" s="1">
        <v>-0.37810271821438007</v>
      </c>
      <c r="E904" s="2">
        <f>SQRT(horizons_results_fin_use___Copy__2[[#This Row],[X (Position in AU)]]^2+horizons_results_fin_use___Copy__2[[#This Row],[Y (Position in AU)]]^2+horizons_results_fin_use___Copy__2[[#This Row],[Z (Position in AU)]]^2)</f>
        <v>1.0165331944831979</v>
      </c>
    </row>
    <row r="905" spans="1:5" x14ac:dyDescent="0.3">
      <c r="A905" s="1">
        <f t="shared" si="14"/>
        <v>904</v>
      </c>
      <c r="B905" s="1">
        <v>0.37570805245615152</v>
      </c>
      <c r="C905" s="1">
        <v>-0.86659917244731877</v>
      </c>
      <c r="D905" s="1">
        <v>-0.37565484969071111</v>
      </c>
      <c r="E905" s="2">
        <f>SQRT(horizons_results_fin_use___Copy__2[[#This Row],[X (Position in AU)]]^2+horizons_results_fin_use___Copy__2[[#This Row],[Y (Position in AU)]]^2+horizons_results_fin_use___Copy__2[[#This Row],[Z (Position in AU)]]^2)</f>
        <v>1.0164975319512206</v>
      </c>
    </row>
    <row r="906" spans="1:5" x14ac:dyDescent="0.3">
      <c r="A906" s="1">
        <f t="shared" si="14"/>
        <v>905</v>
      </c>
      <c r="B906" s="1">
        <v>0.3913625396903701</v>
      </c>
      <c r="C906" s="1">
        <v>-0.86070705981076678</v>
      </c>
      <c r="D906" s="1">
        <v>-0.37310089641949878</v>
      </c>
      <c r="E906" s="2">
        <f>SQRT(horizons_results_fin_use___Copy__2[[#This Row],[X (Position in AU)]]^2+horizons_results_fin_use___Copy__2[[#This Row],[Y (Position in AU)]]^2+horizons_results_fin_use___Copy__2[[#This Row],[Z (Position in AU)]]^2)</f>
        <v>1.0164573572905187</v>
      </c>
    </row>
    <row r="907" spans="1:5" x14ac:dyDescent="0.3">
      <c r="A907" s="1">
        <f t="shared" si="14"/>
        <v>906</v>
      </c>
      <c r="B907" s="1">
        <v>0.40690814509550688</v>
      </c>
      <c r="C907" s="1">
        <v>-0.85457191115051656</v>
      </c>
      <c r="D907" s="1">
        <v>-0.37044143817189967</v>
      </c>
      <c r="E907" s="2">
        <f>SQRT(horizons_results_fin_use___Copy__2[[#This Row],[X (Position in AU)]]^2+horizons_results_fin_use___Copy__2[[#This Row],[Y (Position in AU)]]^2+horizons_results_fin_use___Copy__2[[#This Row],[Z (Position in AU)]]^2)</f>
        <v>1.0164124403938481</v>
      </c>
    </row>
    <row r="908" spans="1:5" x14ac:dyDescent="0.3">
      <c r="A908" s="1">
        <f t="shared" si="14"/>
        <v>907</v>
      </c>
      <c r="B908" s="1">
        <v>0.42234033448900221</v>
      </c>
      <c r="C908" s="1">
        <v>-0.84819514647897121</v>
      </c>
      <c r="D908" s="1">
        <v>-0.36767709160872353</v>
      </c>
      <c r="E908" s="2">
        <f>SQRT(horizons_results_fin_use___Copy__2[[#This Row],[X (Position in AU)]]^2+horizons_results_fin_use___Copy__2[[#This Row],[Y (Position in AU)]]^2+horizons_results_fin_use___Copy__2[[#This Row],[Z (Position in AU)]]^2)</f>
        <v>1.0163625378478958</v>
      </c>
    </row>
    <row r="909" spans="1:5" x14ac:dyDescent="0.3">
      <c r="A909" s="1">
        <f t="shared" si="14"/>
        <v>908</v>
      </c>
      <c r="B909" s="1">
        <v>0.43765453667053889</v>
      </c>
      <c r="C909" s="1">
        <v>-0.84157826627023502</v>
      </c>
      <c r="D909" s="1">
        <v>-0.36480851521903668</v>
      </c>
      <c r="E909" s="2">
        <f>SQRT(horizons_results_fin_use___Copy__2[[#This Row],[X (Position in AU)]]^2+horizons_results_fin_use___Copy__2[[#This Row],[Y (Position in AU)]]^2+horizons_results_fin_use___Copy__2[[#This Row],[Z (Position in AU)]]^2)</f>
        <v>1.0163073966586273</v>
      </c>
    </row>
    <row r="910" spans="1:5" x14ac:dyDescent="0.3">
      <c r="A910" s="1">
        <f t="shared" si="14"/>
        <v>909</v>
      </c>
      <c r="B910" s="1">
        <v>0.45284614106806609</v>
      </c>
      <c r="C910" s="1">
        <v>-0.83472286532295548</v>
      </c>
      <c r="D910" s="1">
        <v>-0.36183641626531737</v>
      </c>
      <c r="E910" s="2">
        <f>SQRT(horizons_results_fin_use___Copy__2[[#This Row],[X (Position in AU)]]^2+horizons_results_fin_use___Copy__2[[#This Row],[Y (Position in AU)]]^2+horizons_results_fin_use___Copy__2[[#This Row],[Z (Position in AU)]]^2)</f>
        <v>1.0162467621148574</v>
      </c>
    </row>
    <row r="911" spans="1:5" x14ac:dyDescent="0.3">
      <c r="A911" s="1">
        <f t="shared" si="14"/>
        <v>910</v>
      </c>
      <c r="B911" s="1">
        <v>0.46791049992241568</v>
      </c>
      <c r="C911" s="1">
        <v>-0.82763065168425898</v>
      </c>
      <c r="D911" s="1">
        <v>-0.3587615597106843</v>
      </c>
      <c r="E911" s="2">
        <f>SQRT(horizons_results_fin_use___Copy__2[[#This Row],[X (Position in AU)]]^2+horizons_results_fin_use___Copy__2[[#This Row],[Y (Position in AU)]]^2+horizons_results_fin_use___Copy__2[[#This Row],[Z (Position in AU)]]^2)</f>
        <v>1.0161803915993455</v>
      </c>
    </row>
    <row r="912" spans="1:5" x14ac:dyDescent="0.3">
      <c r="A912" s="1">
        <f t="shared" si="14"/>
        <v>911</v>
      </c>
      <c r="B912" s="1">
        <v>0.48284293909645548</v>
      </c>
      <c r="C912" s="1">
        <v>-0.82030346942046883</v>
      </c>
      <c r="D912" s="1">
        <v>-0.35558477816374823</v>
      </c>
      <c r="E912" s="2">
        <f>SQRT(horizons_results_fin_use___Copy__2[[#This Row],[X (Position in AU)]]^2+horizons_results_fin_use___Copy__2[[#This Row],[Y (Position in AU)]]^2+horizons_results_fin_use___Copy__2[[#This Row],[Z (Position in AU)]]^2)</f>
        <v>1.0161080750787896</v>
      </c>
    </row>
    <row r="913" spans="1:5" x14ac:dyDescent="0.3">
      <c r="A913" s="1">
        <f t="shared" si="14"/>
        <v>912</v>
      </c>
      <c r="B913" s="1">
        <v>0.49763878104916193</v>
      </c>
      <c r="C913" s="1">
        <v>-0.81274332135232452</v>
      </c>
      <c r="D913" s="1">
        <v>-0.35230698065669802</v>
      </c>
      <c r="E913" s="2">
        <f>SQRT(horizons_results_fin_use___Copy__2[[#This Row],[X (Position in AU)]]^2+horizons_results_fin_use___Copy__2[[#This Row],[Y (Position in AU)]]^2+horizons_results_fin_use___Copy__2[[#This Row],[Z (Position in AU)]]^2)</f>
        <v>1.0160296607020596</v>
      </c>
    </row>
    <row r="914" spans="1:5" x14ac:dyDescent="0.3">
      <c r="A914" s="1">
        <f t="shared" si="14"/>
        <v>913</v>
      </c>
      <c r="B914" s="1">
        <v>0.51229338068169938</v>
      </c>
      <c r="C914" s="1">
        <v>-0.80495238532386137</v>
      </c>
      <c r="D914" s="1">
        <v>-0.34892915712529909</v>
      </c>
      <c r="E914" s="2">
        <f>SQRT(horizons_results_fin_use___Copy__2[[#This Row],[X (Position in AU)]]^2+horizons_results_fin_use___Copy__2[[#This Row],[Y (Position in AU)]]^2+horizons_results_fin_use___Copy__2[[#This Row],[Z (Position in AU)]]^2)</f>
        <v>1.0159450808095043</v>
      </c>
    </row>
    <row r="915" spans="1:5" x14ac:dyDescent="0.3">
      <c r="A915" s="1">
        <f t="shared" si="14"/>
        <v>914</v>
      </c>
      <c r="B915" s="1">
        <v>0.52680216985895456</v>
      </c>
      <c r="C915" s="1">
        <v>-0.79693301698468466</v>
      </c>
      <c r="D915" s="1">
        <v>-0.3454523756418536</v>
      </c>
      <c r="E915" s="2">
        <f>SQRT(horizons_results_fin_use___Copy__2[[#This Row],[X (Position in AU)]]^2+horizons_results_fin_use___Copy__2[[#This Row],[Y (Position in AU)]]^2+horizons_results_fin_use___Copy__2[[#This Row],[Z (Position in AU)]]^2)</f>
        <v>1.0158543712388182</v>
      </c>
    </row>
    <row r="916" spans="1:5" x14ac:dyDescent="0.3">
      <c r="A916" s="1">
        <f t="shared" si="14"/>
        <v>915</v>
      </c>
      <c r="B916" s="1">
        <v>0.54116070161528507</v>
      </c>
      <c r="C916" s="1">
        <v>-0.78868773494885069</v>
      </c>
      <c r="D916" s="1">
        <v>-0.34187777127944757</v>
      </c>
      <c r="E916" s="2">
        <f>SQRT(horizons_results_fin_use___Copy__2[[#This Row],[X (Position in AU)]]^2+horizons_results_fin_use___Copy__2[[#This Row],[Y (Position in AU)]]^2+horizons_results_fin_use___Copy__2[[#This Row],[Z (Position in AU)]]^2)</f>
        <v>1.0157576771683778</v>
      </c>
    </row>
    <row r="917" spans="1:5" x14ac:dyDescent="0.3">
      <c r="A917" s="1">
        <f t="shared" si="14"/>
        <v>916</v>
      </c>
      <c r="B917" s="1">
        <v>0.55536468358600033</v>
      </c>
      <c r="C917" s="1">
        <v>-0.78021918992921913</v>
      </c>
      <c r="D917" s="1">
        <v>-0.33820652835810983</v>
      </c>
      <c r="E917" s="2">
        <f>SQRT(horizons_results_fin_use___Copy__2[[#This Row],[X (Position in AU)]]^2+horizons_results_fin_use___Copy__2[[#This Row],[Y (Position in AU)]]^2+horizons_results_fin_use___Copy__2[[#This Row],[Z (Position in AU)]]^2)</f>
        <v>1.0156552426549228</v>
      </c>
    </row>
    <row r="918" spans="1:5" x14ac:dyDescent="0.3">
      <c r="A918" s="1">
        <f t="shared" si="14"/>
        <v>917</v>
      </c>
      <c r="B918" s="1">
        <v>0.56940999360050015</v>
      </c>
      <c r="C918" s="1">
        <v>-0.77153012495040285</v>
      </c>
      <c r="D918" s="1">
        <v>-0.33443986012618399</v>
      </c>
      <c r="E918" s="2">
        <f>SQRT(horizons_results_fin_use___Copy__2[[#This Row],[X (Position in AU)]]^2+horizons_results_fin_use___Copy__2[[#This Row],[Y (Position in AU)]]^2+horizons_results_fin_use___Copy__2[[#This Row],[Z (Position in AU)]]^2)</f>
        <v>1.0155473866636295</v>
      </c>
    </row>
    <row r="919" spans="1:5" x14ac:dyDescent="0.3">
      <c r="A919" s="1">
        <f t="shared" si="14"/>
        <v>918</v>
      </c>
      <c r="B919" s="1">
        <v>0.5832926767001626</v>
      </c>
      <c r="C919" s="1">
        <v>-0.76262333578108743</v>
      </c>
      <c r="D919" s="1">
        <v>-0.33057899030352639</v>
      </c>
      <c r="E919" s="2">
        <f>SQRT(horizons_results_fin_use___Copy__2[[#This Row],[X (Position in AU)]]^2+horizons_results_fin_use___Copy__2[[#This Row],[Y (Position in AU)]]^2+horizons_results_fin_use___Copy__2[[#This Row],[Z (Position in AU)]]^2)</f>
        <v>1.0154344724304039</v>
      </c>
    </row>
    <row r="920" spans="1:5" x14ac:dyDescent="0.3">
      <c r="A920" s="1">
        <f t="shared" si="14"/>
        <v>919</v>
      </c>
      <c r="B920" s="1">
        <v>0.59700892828079821</v>
      </c>
      <c r="C920" s="1">
        <v>-0.75350163865897335</v>
      </c>
      <c r="D920" s="1">
        <v>-0.32662513941388471</v>
      </c>
      <c r="E920" s="2">
        <f>SQRT(horizons_results_fin_use___Copy__2[[#This Row],[X (Position in AU)]]^2+horizons_results_fin_use___Copy__2[[#This Row],[Y (Position in AU)]]^2+horizons_results_fin_use___Copy__2[[#This Row],[Z (Position in AU)]]^2)</f>
        <v>1.0153168774357515</v>
      </c>
    </row>
    <row r="921" spans="1:5" x14ac:dyDescent="0.3">
      <c r="A921" s="1">
        <f t="shared" si="14"/>
        <v>920</v>
      </c>
      <c r="B921" s="1">
        <v>0.61055507013281196</v>
      </c>
      <c r="C921" s="1">
        <v>-0.74416784829219607</v>
      </c>
      <c r="D921" s="1">
        <v>-0.32257951668858642</v>
      </c>
      <c r="E921" s="2">
        <f>SQRT(horizons_results_fin_use___Copy__2[[#This Row],[X (Position in AU)]]^2+horizons_results_fin_use___Copy__2[[#This Row],[Y (Position in AU)]]^2+horizons_results_fin_use___Copy__2[[#This Row],[Z (Position in AU)]]^2)</f>
        <v>1.0151949688034125</v>
      </c>
    </row>
    <row r="922" spans="1:5" x14ac:dyDescent="0.3">
      <c r="A922" s="1">
        <f t="shared" si="14"/>
        <v>921</v>
      </c>
      <c r="B922" s="1">
        <v>0.6239275251156422</v>
      </c>
      <c r="C922" s="1">
        <v>-0.73462476559091128</v>
      </c>
      <c r="D922" s="1">
        <v>-0.31844331673876958</v>
      </c>
      <c r="E922" s="2">
        <f>SQRT(horizons_results_fin_use___Copy__2[[#This Row],[X (Position in AU)]]^2+horizons_results_fin_use___Copy__2[[#This Row],[Y (Position in AU)]]^2+horizons_results_fin_use___Copy__2[[#This Row],[Z (Position in AU)]]^2)</f>
        <v>1.0150690857237354</v>
      </c>
    </row>
    <row r="923" spans="1:5" x14ac:dyDescent="0.3">
      <c r="A923" s="1">
        <f t="shared" si="14"/>
        <v>922</v>
      </c>
      <c r="B923" s="1">
        <v>0.63712279383827242</v>
      </c>
      <c r="C923" s="1">
        <v>-0.72487517284803848</v>
      </c>
      <c r="D923" s="1">
        <v>-0.31421771958977729</v>
      </c>
      <c r="E923" s="2">
        <f>SQRT(horizons_results_fin_use___Copy__2[[#This Row],[X (Position in AU)]]^2+horizons_results_fin_use___Copy__2[[#This Row],[Y (Position in AU)]]^2+horizons_results_fin_use___Copy__2[[#This Row],[Z (Position in AU)]]^2)</f>
        <v>1.0149395282202578</v>
      </c>
    </row>
    <row r="924" spans="1:5" x14ac:dyDescent="0.3">
      <c r="A924" s="1">
        <f t="shared" si="14"/>
        <v>923</v>
      </c>
      <c r="B924" s="1">
        <v>0.65013743460190965</v>
      </c>
      <c r="C924" s="1">
        <v>-0.71492183394062869</v>
      </c>
      <c r="D924" s="1">
        <v>-0.30990389280076502</v>
      </c>
      <c r="E924" s="2">
        <f>SQRT(horizons_results_fin_use___Copy__2[[#This Row],[X (Position in AU)]]^2+horizons_results_fin_use___Copy__2[[#This Row],[Y (Position in AU)]]^2+horizons_results_fin_use___Copy__2[[#This Row],[Z (Position in AU)]]^2)</f>
        <v>1.01480655067301</v>
      </c>
    </row>
    <row r="925" spans="1:5" x14ac:dyDescent="0.3">
      <c r="A925" s="1">
        <f t="shared" si="14"/>
        <v>924</v>
      </c>
      <c r="B925" s="1">
        <v>0.6629680466471326</v>
      </c>
      <c r="C925" s="1">
        <v>-0.70476749776033421</v>
      </c>
      <c r="D925" s="1">
        <v>-0.30550299481078752</v>
      </c>
      <c r="E925" s="2">
        <f>SQRT(horizons_results_fin_use___Copy__2[[#This Row],[X (Position in AU)]]^2+horizons_results_fin_use___Copy__2[[#This Row],[Y (Position in AU)]]^2+horizons_results_fin_use___Copy__2[[#This Row],[Z (Position in AU)]]^2)</f>
        <v>1.0146703585957546</v>
      </c>
    </row>
    <row r="926" spans="1:5" x14ac:dyDescent="0.3">
      <c r="A926" s="1">
        <f t="shared" si="14"/>
        <v>925</v>
      </c>
      <c r="B926" s="1">
        <v>0.67561125636306774</v>
      </c>
      <c r="C926" s="1">
        <v>-0.69441490381058013</v>
      </c>
      <c r="D926" s="1">
        <v>-0.30101617903658018</v>
      </c>
      <c r="E926" s="2">
        <f>SQRT(horizons_results_fin_use___Copy__2[[#This Row],[X (Position in AU)]]^2+horizons_results_fin_use___Copy__2[[#This Row],[Y (Position in AU)]]^2+horizons_results_fin_use___Copy__2[[#This Row],[Z (Position in AU)]]^2)</f>
        <v>1.0145311076554147</v>
      </c>
    </row>
    <row r="927" spans="1:5" x14ac:dyDescent="0.3">
      <c r="A927" s="1">
        <f t="shared" si="14"/>
        <v>926</v>
      </c>
      <c r="B927" s="1">
        <v>0.68806370619462753</v>
      </c>
      <c r="C927" s="1">
        <v>-0.6838667893781063</v>
      </c>
      <c r="D927" s="1">
        <v>-0.29644459846401389</v>
      </c>
      <c r="E927" s="2">
        <f>SQRT(horizons_results_fin_use___Copy__2[[#This Row],[X (Position in AU)]]^2+horizons_results_fin_use___Copy__2[[#This Row],[Y (Position in AU)]]^2+horizons_results_fin_use___Copy__2[[#This Row],[Z (Position in AU)]]^2)</f>
        <v>1.0143889043927365</v>
      </c>
    </row>
    <row r="928" spans="1:5" x14ac:dyDescent="0.3">
      <c r="A928" s="1">
        <f t="shared" si="14"/>
        <v>927</v>
      </c>
      <c r="B928" s="1">
        <v>0.70032204616901528</v>
      </c>
      <c r="C928" s="1">
        <v>-0.67312589784107624</v>
      </c>
      <c r="D928" s="1">
        <v>-0.29178941053158991</v>
      </c>
      <c r="E928" s="2">
        <f>SQRT(horizons_results_fin_use___Copy__2[[#This Row],[X (Position in AU)]]^2+horizons_results_fin_use___Copy__2[[#This Row],[Y (Position in AU)]]^2+horizons_results_fin_use___Copy__2[[#This Row],[Z (Position in AU)]]^2)</f>
        <v>1.0142438083582683</v>
      </c>
    </row>
    <row r="929" spans="1:5" x14ac:dyDescent="0.3">
      <c r="A929" s="1">
        <f t="shared" si="14"/>
        <v>928</v>
      </c>
      <c r="B929" s="1">
        <v>0.71238292803047776</v>
      </c>
      <c r="C929" s="1">
        <v>-0.66219498762482309</v>
      </c>
      <c r="D929" s="1">
        <v>-0.28705178207379067</v>
      </c>
      <c r="E929" s="2">
        <f>SQRT(horizons_results_fin_use___Copy__2[[#This Row],[X (Position in AU)]]^2+horizons_results_fin_use___Copy__2[[#This Row],[Y (Position in AU)]]^2+horizons_results_fin_use___Copy__2[[#This Row],[Z (Position in AU)]]^2)</f>
        <v>1.0140958354004099</v>
      </c>
    </row>
    <row r="930" spans="1:5" x14ac:dyDescent="0.3">
      <c r="A930" s="1">
        <f t="shared" si="14"/>
        <v>929</v>
      </c>
      <c r="B930" s="1">
        <v>0.72424300185460688</v>
      </c>
      <c r="C930" s="1">
        <v>-0.65107684122340337</v>
      </c>
      <c r="D930" s="1">
        <v>-0.28223289405909241</v>
      </c>
      <c r="E930" s="2">
        <f>SQRT(horizons_results_fin_use___Copy__2[[#This Row],[X (Position in AU)]]^2+horizons_results_fin_use___Copy__2[[#This Row],[Y (Position in AU)]]^2+horizons_results_fin_use___Copy__2[[#This Row],[Z (Position in AU)]]^2)</f>
        <v>1.0139449617221774</v>
      </c>
    </row>
    <row r="931" spans="1:5" x14ac:dyDescent="0.3">
      <c r="A931" s="1">
        <f t="shared" si="14"/>
        <v>930</v>
      </c>
      <c r="B931" s="1">
        <v>0.73589891476422575</v>
      </c>
      <c r="C931" s="1">
        <v>-0.63977427370563034</v>
      </c>
      <c r="D931" s="1">
        <v>-0.27733394588125537</v>
      </c>
      <c r="E931" s="2">
        <f>SQRT(horizons_results_fin_use___Copy__2[[#This Row],[X (Position in AU)]]^2+horizons_results_fin_use___Copy__2[[#This Row],[Y (Position in AU)]]^2+horizons_results_fin_use___Copy__2[[#This Row],[Z (Position in AU)]]^2)</f>
        <v>1.0137911281841043</v>
      </c>
    </row>
    <row r="932" spans="1:5" x14ac:dyDescent="0.3">
      <c r="A932" s="1">
        <f t="shared" si="14"/>
        <v>931</v>
      </c>
      <c r="B932" s="1">
        <v>0.74734731110244546</v>
      </c>
      <c r="C932" s="1">
        <v>-0.62829014028146157</v>
      </c>
      <c r="D932" s="1">
        <v>-0.27235615906246391</v>
      </c>
      <c r="E932" s="2">
        <f>SQRT(horizons_results_fin_use___Copy__2[[#This Row],[X (Position in AU)]]^2+horizons_results_fin_use___Copy__2[[#This Row],[Y (Position in AU)]]^2+horizons_results_fin_use___Copy__2[[#This Row],[Z (Position in AU)]]^2)</f>
        <v>1.013634244274636</v>
      </c>
    </row>
    <row r="933" spans="1:5" x14ac:dyDescent="0.3">
      <c r="A933" s="1">
        <f t="shared" si="14"/>
        <v>932</v>
      </c>
      <c r="B933" s="1">
        <v>0.75858483324750103</v>
      </c>
      <c r="C933" s="1">
        <v>-0.61662734280852094</v>
      </c>
      <c r="D933" s="1">
        <v>-0.26730078038761118</v>
      </c>
      <c r="E933" s="2">
        <f>SQRT(horizons_results_fin_use___Copy__2[[#This Row],[X (Position in AU)]]^2+horizons_results_fin_use___Copy__2[[#This Row],[Y (Position in AU)]]^2+horizons_results_fin_use___Copy__2[[#This Row],[Z (Position in AU)]]^2)</f>
        <v>1.0134741912491221</v>
      </c>
    </row>
    <row r="934" spans="1:5" x14ac:dyDescent="0.3">
      <c r="A934" s="1">
        <f t="shared" si="14"/>
        <v>933</v>
      </c>
      <c r="B934" s="1">
        <v>0.76960812225336594</v>
      </c>
      <c r="C934" s="1">
        <v>-0.604788835515085</v>
      </c>
      <c r="D934" s="1">
        <v>-0.26216908467771538</v>
      </c>
      <c r="E934" s="2">
        <f>SQRT(horizons_results_fin_use___Copy__2[[#This Row],[X (Position in AU)]]^2+horizons_results_fin_use___Copy__2[[#This Row],[Y (Position in AU)]]^2+horizons_results_fin_use___Copy__2[[#This Row],[Z (Position in AU)]]^2)</f>
        <v>1.013310824161469</v>
      </c>
    </row>
    <row r="935" spans="1:5" x14ac:dyDescent="0.3">
      <c r="A935" s="1">
        <f t="shared" si="14"/>
        <v>934</v>
      </c>
      <c r="B935" s="1">
        <v>0.78041381770827156</v>
      </c>
      <c r="C935" s="1">
        <v>-0.59277763064035738</v>
      </c>
      <c r="D935" s="1">
        <v>-0.25696237759274487</v>
      </c>
      <c r="E935" s="2">
        <f>SQRT(horizons_results_fin_use___Copy__2[[#This Row],[X (Position in AU)]]^2+horizons_results_fin_use___Copy__2[[#This Row],[Y (Position in AU)]]^2+horizons_results_fin_use___Copy__2[[#This Row],[Z (Position in AU)]]^2)</f>
        <v>1.0131439728664982</v>
      </c>
    </row>
    <row r="936" spans="1:5" x14ac:dyDescent="0.3">
      <c r="A936" s="1">
        <f t="shared" si="14"/>
        <v>935</v>
      </c>
      <c r="B936" s="1">
        <v>0.79099855664828334</v>
      </c>
      <c r="C936" s="1">
        <v>-0.58059680508154454</v>
      </c>
      <c r="D936" s="1">
        <v>-0.25168199899713112</v>
      </c>
      <c r="E936" s="2">
        <f>SQRT(horizons_results_fin_use___Copy__2[[#This Row],[X (Position in AU)]]^2+horizons_results_fin_use___Copy__2[[#This Row],[Y (Position in AU)]]^2+horizons_results_fin_use___Copy__2[[#This Row],[Z (Position in AU)]]^2)</f>
        <v>1.0129734425490908</v>
      </c>
    </row>
    <row r="937" spans="1:5" x14ac:dyDescent="0.3">
      <c r="A937" s="1">
        <f t="shared" si="14"/>
        <v>936</v>
      </c>
      <c r="B937" s="1">
        <v>0.80135897208447249</v>
      </c>
      <c r="C937" s="1">
        <v>-0.56824950940331431</v>
      </c>
      <c r="D937" s="1">
        <v>-0.2463293274800859</v>
      </c>
      <c r="E937" s="2">
        <f>SQRT(horizons_results_fin_use___Copy__2[[#This Row],[X (Position in AU)]]^2+horizons_results_fin_use___Copy__2[[#This Row],[Y (Position in AU)]]^2+horizons_results_fin_use___Copy__2[[#This Row],[Z (Position in AU)]]^2)</f>
        <v>1.0127990149354318</v>
      </c>
    </row>
    <row r="938" spans="1:5" x14ac:dyDescent="0.3">
      <c r="A938" s="1">
        <f t="shared" si="14"/>
        <v>937</v>
      </c>
      <c r="B938" s="1">
        <v>0.81149169272920363</v>
      </c>
      <c r="C938" s="1">
        <v>-0.5557389805451004</v>
      </c>
      <c r="D938" s="1">
        <v>-0.2409057865172107</v>
      </c>
      <c r="E938" s="2">
        <f>SQRT(horizons_results_fin_use___Copy__2[[#This Row],[X (Position in AU)]]^2+horizons_results_fin_use___Copy__2[[#This Row],[Y (Position in AU)]]^2+horizons_results_fin_use___Copy__2[[#This Row],[Z (Position in AU)]]^2)</f>
        <v>1.0126204520170878</v>
      </c>
    </row>
    <row r="939" spans="1:5" x14ac:dyDescent="0.3">
      <c r="A939" s="1">
        <f t="shared" si="14"/>
        <v>938</v>
      </c>
      <c r="B939" s="1">
        <v>0.82139334675336761</v>
      </c>
      <c r="C939" s="1">
        <v>-0.54306855896828099</v>
      </c>
      <c r="D939" s="1">
        <v>-0.23541285236156631</v>
      </c>
      <c r="E939" s="2">
        <f>SQRT(horizons_results_fin_use___Copy__2[[#This Row],[X (Position in AU)]]^2+horizons_results_fin_use___Copy__2[[#This Row],[Y (Position in AU)]]^2+horizons_results_fin_use___Copy__2[[#This Row],[Z (Position in AU)]]^2)</f>
        <v>1.0124375046824332</v>
      </c>
    </row>
    <row r="940" spans="1:5" x14ac:dyDescent="0.3">
      <c r="A940" s="1">
        <f t="shared" si="14"/>
        <v>939</v>
      </c>
      <c r="B940" s="1">
        <v>0.83106057346977946</v>
      </c>
      <c r="C940" s="1">
        <v>-0.53024170945896365</v>
      </c>
      <c r="D940" s="1">
        <v>-0.22985206292831131</v>
      </c>
      <c r="E940" s="2">
        <f>SQRT(horizons_results_fin_use___Copy__2[[#This Row],[X (Position in AU)]]^2+horizons_results_fin_use___Copy__2[[#This Row],[Y (Position in AU)]]^2+horizons_results_fin_use___Copy__2[[#This Row],[Z (Position in AU)]]^2)</f>
        <v>1.0122499286531381</v>
      </c>
    </row>
    <row r="941" spans="1:5" x14ac:dyDescent="0.3">
      <c r="A941" s="1">
        <f t="shared" si="14"/>
        <v>940</v>
      </c>
      <c r="B941" s="1">
        <v>0.84049004681817974</v>
      </c>
      <c r="C941" s="1">
        <v>-0.51726204220372018</v>
      </c>
      <c r="D941" s="1">
        <v>-0.22422502570525221</v>
      </c>
      <c r="E941" s="2">
        <f>SQRT(horizons_results_fin_use___Copy__2[[#This Row],[X (Position in AU)]]^2+horizons_results_fin_use___Copy__2[[#This Row],[Y (Position in AU)]]^2+horizons_results_fin_use___Copy__2[[#This Row],[Z (Position in AU)]]^2)</f>
        <v>1.0120575088687944</v>
      </c>
    </row>
    <row r="942" spans="1:5" x14ac:dyDescent="0.3">
      <c r="A942" s="1">
        <f t="shared" si="14"/>
        <v>941</v>
      </c>
      <c r="B942" s="1">
        <v>0.84967851222161483</v>
      </c>
      <c r="C942" s="1">
        <v>-0.50413332774180875</v>
      </c>
      <c r="D942" s="1">
        <v>-0.21853342150639571</v>
      </c>
      <c r="E942" s="2">
        <f>SQRT(horizons_results_fin_use___Copy__2[[#This Row],[X (Position in AU)]]^2+horizons_results_fin_use___Copy__2[[#This Row],[Y (Position in AU)]]^2+horizons_results_fin_use___Copy__2[[#This Row],[Z (Position in AU)]]^2)</f>
        <v>1.0118600904208341</v>
      </c>
    </row>
    <row r="943" spans="1:5" x14ac:dyDescent="0.3">
      <c r="A943" s="1">
        <f t="shared" si="14"/>
        <v>942</v>
      </c>
      <c r="B943" s="1">
        <v>0.85862283329968092</v>
      </c>
      <c r="C943" s="1">
        <v>-0.49085949784664168</v>
      </c>
      <c r="D943" s="1">
        <v>-0.2127790006247669</v>
      </c>
      <c r="E943" s="2">
        <f>SQRT(horizons_results_fin_use___Copy__2[[#This Row],[X (Position in AU)]]^2+horizons_results_fin_use___Copy__2[[#This Row],[Y (Position in AU)]]^2+horizons_results_fin_use___Copy__2[[#This Row],[Z (Position in AU)]]^2)</f>
        <v>1.0116576098644756</v>
      </c>
    </row>
    <row r="944" spans="1:5" x14ac:dyDescent="0.3">
      <c r="A944" s="1">
        <f t="shared" si="14"/>
        <v>943</v>
      </c>
      <c r="B944" s="1">
        <v>0.86732003878057318</v>
      </c>
      <c r="C944" s="1">
        <v>-0.47744462665419451</v>
      </c>
      <c r="D944" s="1">
        <v>-0.20696356959067019</v>
      </c>
      <c r="E944" s="2">
        <f>SQRT(horizons_results_fin_use___Copy__2[[#This Row],[X (Position in AU)]]^2+horizons_results_fin_use___Copy__2[[#This Row],[Y (Position in AU)]]^2+horizons_results_fin_use___Copy__2[[#This Row],[Z (Position in AU)]]^2)</f>
        <v>1.0114501175683408</v>
      </c>
    </row>
    <row r="945" spans="1:5" x14ac:dyDescent="0.3">
      <c r="A945" s="1">
        <f t="shared" si="14"/>
        <v>944</v>
      </c>
      <c r="B945" s="1">
        <v>0.87576735679332662</v>
      </c>
      <c r="C945" s="1">
        <v>-0.46389289292777991</v>
      </c>
      <c r="D945" s="1">
        <v>-0.20108897015736729</v>
      </c>
      <c r="E945" s="2">
        <f>SQRT(horizons_results_fin_use___Copy__2[[#This Row],[X (Position in AU)]]^2+horizons_results_fin_use___Copy__2[[#This Row],[Y (Position in AU)]]^2+horizons_results_fin_use___Copy__2[[#This Row],[Z (Position in AU)]]^2)</f>
        <v>1.0112377827457917</v>
      </c>
    </row>
    <row r="946" spans="1:5" x14ac:dyDescent="0.3">
      <c r="A946" s="1">
        <f t="shared" si="14"/>
        <v>945</v>
      </c>
      <c r="B946" s="1">
        <v>0.883962226920326</v>
      </c>
      <c r="C946" s="1">
        <v>-0.45020853201478922</v>
      </c>
      <c r="D946" s="1">
        <v>-0.1951570554768591</v>
      </c>
      <c r="E946" s="2">
        <f>SQRT(horizons_results_fin_use___Copy__2[[#This Row],[X (Position in AU)]]^2+horizons_results_fin_use___Copy__2[[#This Row],[Y (Position in AU)]]^2+horizons_results_fin_use___Copy__2[[#This Row],[Z (Position in AU)]]^2)</f>
        <v>1.0110208787276607</v>
      </c>
    </row>
    <row r="947" spans="1:5" x14ac:dyDescent="0.3">
      <c r="A947" s="1">
        <f t="shared" si="14"/>
        <v>946</v>
      </c>
      <c r="B947" s="1">
        <v>0.89190228877856004</v>
      </c>
      <c r="C947" s="1">
        <v>-0.43639578976000343</v>
      </c>
      <c r="D947" s="1">
        <v>-0.18916966940475999</v>
      </c>
      <c r="E947" s="2">
        <f>SQRT(horizons_results_fin_use___Copy__2[[#This Row],[X (Position in AU)]]^2+horizons_results_fin_use___Copy__2[[#This Row],[Y (Position in AU)]]^2+horizons_results_fin_use___Copy__2[[#This Row],[Z (Position in AU)]]^2)</f>
        <v>1.0107997535968227</v>
      </c>
    </row>
    <row r="948" spans="1:5" x14ac:dyDescent="0.3">
      <c r="A948" s="1">
        <f t="shared" si="14"/>
        <v>947</v>
      </c>
      <c r="B948" s="1">
        <v>0.8995853540851364</v>
      </c>
      <c r="C948" s="1">
        <v>-0.42245888813741</v>
      </c>
      <c r="D948" s="1">
        <v>-0.183128632918787</v>
      </c>
      <c r="E948" s="2">
        <f>SQRT(horizons_results_fin_use___Copy__2[[#This Row],[X (Position in AU)]]^2+horizons_results_fin_use___Copy__2[[#This Row],[Y (Position in AU)]]^2+horizons_results_fin_use___Copy__2[[#This Row],[Z (Position in AU)]]^2)</f>
        <v>1.0105747956709987</v>
      </c>
    </row>
    <row r="949" spans="1:5" x14ac:dyDescent="0.3">
      <c r="A949" s="1">
        <f t="shared" si="14"/>
        <v>948</v>
      </c>
      <c r="B949" s="1">
        <v>0.90700937247109104</v>
      </c>
      <c r="C949" s="1">
        <v>-0.40840200615666788</v>
      </c>
      <c r="D949" s="1">
        <v>-0.1770357383787538</v>
      </c>
      <c r="E949" s="2">
        <f>SQRT(horizons_results_fin_use___Copy__2[[#This Row],[X (Position in AU)]]^2+horizons_results_fin_use___Copy__2[[#This Row],[Y (Position in AU)]]^2+horizons_results_fin_use___Copy__2[[#This Row],[Z (Position in AU)]]^2)</f>
        <v>1.0103464025008966</v>
      </c>
    </row>
    <row r="950" spans="1:5" x14ac:dyDescent="0.3">
      <c r="A950" s="1">
        <f t="shared" si="14"/>
        <v>949</v>
      </c>
      <c r="B950" s="1">
        <v>0.91417239944447382</v>
      </c>
      <c r="C950" s="1">
        <v>-0.39422927402043462</v>
      </c>
      <c r="D950" s="1">
        <v>-0.17089274988024269</v>
      </c>
      <c r="E950" s="2">
        <f>SQRT(horizons_results_fin_use___Copy__2[[#This Row],[X (Position in AU)]]^2+horizons_results_fin_use___Copy__2[[#This Row],[Y (Position in AU)]]^2+horizons_results_fin_use___Copy__2[[#This Row],[Z (Position in AU)]]^2)</f>
        <v>1.0101149579935824</v>
      </c>
    </row>
    <row r="951" spans="1:5" x14ac:dyDescent="0.3">
      <c r="A951" s="1">
        <f t="shared" si="14"/>
        <v>950</v>
      </c>
      <c r="B951" s="1">
        <v>0.92107257075793347</v>
      </c>
      <c r="C951" s="1">
        <v>-0.3799447759452888</v>
      </c>
      <c r="D951" s="1">
        <v>-0.16470140712438089</v>
      </c>
      <c r="E951" s="2">
        <f>SQRT(horizons_results_fin_use___Copy__2[[#This Row],[X (Position in AU)]]^2+horizons_results_fin_use___Copy__2[[#This Row],[Y (Position in AU)]]^2+horizons_results_fin_use___Copy__2[[#This Row],[Z (Position in AU)]]^2)</f>
        <v>1.0098808181560313</v>
      </c>
    </row>
    <row r="952" spans="1:5" x14ac:dyDescent="0.3">
      <c r="A952" s="1">
        <f t="shared" si="14"/>
        <v>951</v>
      </c>
      <c r="B952" s="1">
        <v>0.92770808382215242</v>
      </c>
      <c r="C952" s="1">
        <v>-0.36555255722201829</v>
      </c>
      <c r="D952" s="1">
        <v>-0.1584634306414652</v>
      </c>
      <c r="E952" s="2">
        <f>SQRT(horizons_results_fin_use___Copy__2[[#This Row],[X (Position in AU)]]^2+horizons_results_fin_use___Copy__2[[#This Row],[Y (Position in AU)]]^2+horizons_results_fin_use___Copy__2[[#This Row],[Z (Position in AU)]]^2)</f>
        <v>1.0096443035699201</v>
      </c>
    </row>
    <row r="953" spans="1:5" x14ac:dyDescent="0.3">
      <c r="A953" s="1">
        <f t="shared" si="14"/>
        <v>952</v>
      </c>
      <c r="B953" s="1">
        <v>0.93407718484956936</v>
      </c>
      <c r="C953" s="1">
        <v>-0.3510566325352576</v>
      </c>
      <c r="D953" s="1">
        <v>-0.15218052707498389</v>
      </c>
      <c r="E953" s="2">
        <f>SQRT(horizons_results_fin_use___Copy__2[[#This Row],[X (Position in AU)]]^2+horizons_results_fin_use___Copy__2[[#This Row],[Y (Position in AU)]]^2+horizons_results_fin_use___Copy__2[[#This Row],[Z (Position in AU)]]^2)</f>
        <v>1.0094056961025686</v>
      </c>
    </row>
    <row r="954" spans="1:5" x14ac:dyDescent="0.3">
      <c r="A954" s="1">
        <f t="shared" si="14"/>
        <v>953</v>
      </c>
      <c r="B954" s="1">
        <v>0.94017815991034692</v>
      </c>
      <c r="C954" s="1">
        <v>-0.33646099409307362</v>
      </c>
      <c r="D954" s="1">
        <v>-0.14585439400644579</v>
      </c>
      <c r="E954" s="2">
        <f>SQRT(horizons_results_fin_use___Copy__2[[#This Row],[X (Position in AU)]]^2+horizons_results_fin_use___Copy__2[[#This Row],[Y (Position in AU)]]^2+horizons_results_fin_use___Copy__2[[#This Row],[Z (Position in AU)]]^2)</f>
        <v>1.0091652377928466</v>
      </c>
    </row>
    <row r="955" spans="1:5" x14ac:dyDescent="0.3">
      <c r="A955" s="1">
        <f t="shared" si="14"/>
        <v>954</v>
      </c>
      <c r="B955" s="1">
        <v>0.94600932839668872</v>
      </c>
      <c r="C955" s="1">
        <v>-0.3217696191921533</v>
      </c>
      <c r="D955" s="1">
        <v>-0.13948672428264819</v>
      </c>
      <c r="E955" s="2">
        <f>SQRT(horizons_results_fin_use___Copy__2[[#This Row],[X (Position in AU)]]^2+horizons_results_fin_use___Copy__2[[#This Row],[Y (Position in AU)]]^2+horizons_results_fin_use___Copy__2[[#This Row],[Z (Position in AU)]]^2)</f>
        <v>1.0089231306198312</v>
      </c>
    </row>
    <row r="956" spans="1:5" x14ac:dyDescent="0.3">
      <c r="A956" s="1">
        <f t="shared" si="14"/>
        <v>955</v>
      </c>
      <c r="B956" s="1">
        <v>0.95156903797828685</v>
      </c>
      <c r="C956" s="1">
        <v>-0.30698647738609702</v>
      </c>
      <c r="D956" s="1">
        <v>-0.1330792100096285</v>
      </c>
      <c r="E956" s="2">
        <f>SQRT(horizons_results_fin_use___Copy__2[[#This Row],[X (Position in AU)]]^2+horizons_results_fin_use___Copy__2[[#This Row],[Y (Position in AU)]]^2+horizons_results_fin_use___Copy__2[[#This Row],[Z (Position in AU)]]^2)</f>
        <v>1.0086795365593741</v>
      </c>
    </row>
    <row r="957" spans="1:5" x14ac:dyDescent="0.3">
      <c r="A957" s="1">
        <f t="shared" si="14"/>
        <v>956</v>
      </c>
      <c r="B957" s="1">
        <v>0.95685566066780814</v>
      </c>
      <c r="C957" s="1">
        <v>-0.29211553755559239</v>
      </c>
      <c r="D957" s="1">
        <v>-0.12663354639005639</v>
      </c>
      <c r="E957" s="2">
        <f>SQRT(horizons_results_fin_use___Copy__2[[#This Row],[X (Position in AU)]]^2+horizons_results_fin_use___Copy__2[[#This Row],[Y (Position in AU)]]^2+horizons_results_fin_use___Copy__2[[#This Row],[Z (Position in AU)]]^2)</f>
        <v>1.0084345778010306</v>
      </c>
    </row>
    <row r="958" spans="1:5" x14ac:dyDescent="0.3">
      <c r="A958" s="1">
        <f t="shared" si="14"/>
        <v>957</v>
      </c>
      <c r="B958" s="1">
        <v>0.96186758995275679</v>
      </c>
      <c r="C958" s="1">
        <v>-0.27716077507010761</v>
      </c>
      <c r="D958" s="1">
        <v>-0.120151435497776</v>
      </c>
      <c r="E958" s="2">
        <f>SQRT(horizons_results_fin_use___Copy__2[[#This Row],[X (Position in AU)]]^2+horizons_results_fin_use___Copy__2[[#This Row],[Y (Position in AU)]]^2+horizons_results_fin_use___Copy__2[[#This Row],[Z (Position in AU)]]^2)</f>
        <v>1.0081883372124296</v>
      </c>
    </row>
    <row r="959" spans="1:5" x14ac:dyDescent="0.3">
      <c r="A959" s="1">
        <f t="shared" si="14"/>
        <v>958</v>
      </c>
      <c r="B959" s="1">
        <v>0.96660323905739232</v>
      </c>
      <c r="C959" s="1">
        <v>-0.2621261790412463</v>
      </c>
      <c r="D959" s="1">
        <v>-0.1136345899835171</v>
      </c>
      <c r="E959" s="2">
        <f>SQRT(horizons_results_fin_use___Copy__2[[#This Row],[X (Position in AU)]]^2+horizons_results_fin_use___Copy__2[[#This Row],[Y (Position in AU)]]^2+horizons_results_fin_use___Copy__2[[#This Row],[Z (Position in AU)]]^2)</f>
        <v>1.0079408591458765</v>
      </c>
    </row>
    <row r="960" spans="1:5" x14ac:dyDescent="0.3">
      <c r="A960" s="1">
        <f t="shared" si="14"/>
        <v>959</v>
      </c>
      <c r="B960" s="1">
        <v>0.97106104031922402</v>
      </c>
      <c r="C960" s="1">
        <v>-0.24701575952594129</v>
      </c>
      <c r="D960" s="1">
        <v>-0.10708473664594</v>
      </c>
      <c r="E960" s="2">
        <f>SQRT(horizons_results_fin_use___Copy__2[[#This Row],[X (Position in AU)]]^2+horizons_results_fin_use___Copy__2[[#This Row],[Y (Position in AU)]]^2+horizons_results_fin_use___Copy__2[[#This Row],[Z (Position in AU)]]^2)</f>
        <v>1.0076921505611531</v>
      </c>
    </row>
    <row r="961" spans="1:5" x14ac:dyDescent="0.3">
      <c r="A961" s="1">
        <f t="shared" si="14"/>
        <v>960</v>
      </c>
      <c r="B961" s="1">
        <v>0.97523944549301889</v>
      </c>
      <c r="C961" s="1">
        <v>-0.23183355452507651</v>
      </c>
      <c r="D961" s="1">
        <v>-0.100503619812116</v>
      </c>
      <c r="E961" s="2">
        <f>SQRT(horizons_results_fin_use___Copy__2[[#This Row],[X (Position in AU)]]^2+horizons_results_fin_use___Copy__2[[#This Row],[Y (Position in AU)]]^2+horizons_results_fin_use___Copy__2[[#This Row],[Z (Position in AU)]]^2)</f>
        <v>1.0074421822837283</v>
      </c>
    </row>
    <row r="962" spans="1:5" x14ac:dyDescent="0.3">
      <c r="A962" s="1">
        <f t="shared" si="14"/>
        <v>961</v>
      </c>
      <c r="B962" s="1">
        <v>0.97913692664697149</v>
      </c>
      <c r="C962" s="1">
        <v>-0.21658363676594911</v>
      </c>
      <c r="D962" s="1">
        <v>-9.3893004552786319E-2</v>
      </c>
      <c r="E962" s="2">
        <f>SQRT(horizons_results_fin_use___Copy__2[[#This Row],[X (Position in AU)]]^2+horizons_results_fin_use___Copy__2[[#This Row],[Y (Position in AU)]]^2+horizons_results_fin_use___Copy__2[[#This Row],[Z (Position in AU)]]^2)</f>
        <v>1.0071908901208306</v>
      </c>
    </row>
    <row r="963" spans="1:5" x14ac:dyDescent="0.3">
      <c r="A963" s="1">
        <f t="shared" si="14"/>
        <v>962</v>
      </c>
      <c r="B963" s="1">
        <v>0.98275197730007846</v>
      </c>
      <c r="C963" s="1">
        <v>-0.2012701205271708</v>
      </c>
      <c r="D963" s="1">
        <v>-8.7254679886821271E-2</v>
      </c>
      <c r="E963" s="2">
        <f>SQRT(horizons_results_fin_use___Copy__2[[#This Row],[X (Position in AU)]]^2+horizons_results_fin_use___Copy__2[[#This Row],[Y (Position in AU)]]^2+horizons_results_fin_use___Copy__2[[#This Row],[Z (Position in AU)]]^2)</f>
        <v>1.0069381755929148</v>
      </c>
    </row>
    <row r="964" spans="1:5" x14ac:dyDescent="0.3">
      <c r="A964" s="1">
        <f t="shared" ref="A964:A1027" si="15">A963+1</f>
        <v>963</v>
      </c>
      <c r="B964" s="1">
        <v>0.98608311365263612</v>
      </c>
      <c r="C964" s="1">
        <v>-0.18589716909037171</v>
      </c>
      <c r="D964" s="1">
        <v>-8.0590462264298349E-2</v>
      </c>
      <c r="E964" s="2">
        <f>SQRT(horizons_results_fin_use___Copy__2[[#This Row],[X (Position in AU)]]^2+horizons_results_fin_use___Copy__2[[#This Row],[Y (Position in AU)]]^2+horizons_results_fin_use___Copy__2[[#This Row],[Z (Position in AU)]]^2)</f>
        <v>1.0066839062559136</v>
      </c>
    </row>
    <row r="965" spans="1:5" x14ac:dyDescent="0.3">
      <c r="A965" s="1">
        <f t="shared" si="15"/>
        <v>964</v>
      </c>
      <c r="B965" s="1">
        <v>0.98912887623974699</v>
      </c>
      <c r="C965" s="1">
        <v>-0.17046900367471851</v>
      </c>
      <c r="D965" s="1">
        <v>-7.3902199701567958E-2</v>
      </c>
      <c r="E965" s="2">
        <f>SQRT(horizons_results_fin_use___Copy__2[[#This Row],[X (Position in AU)]]^2+horizons_results_fin_use___Copy__2[[#This Row],[Y (Position in AU)]]^2+horizons_results_fin_use___Copy__2[[#This Row],[Z (Position in AU)]]^2)</f>
        <v>1.0064279160207581</v>
      </c>
    </row>
    <row r="966" spans="1:5" x14ac:dyDescent="0.3">
      <c r="A966" s="1">
        <f t="shared" si="15"/>
        <v>965</v>
      </c>
      <c r="B966" s="1">
        <v>0.99188783310792572</v>
      </c>
      <c r="C966" s="1">
        <v>-0.15498991476788559</v>
      </c>
      <c r="D966" s="1">
        <v>-6.719177689767912E-2</v>
      </c>
      <c r="E966" s="2">
        <f>SQRT(horizons_results_fin_use___Copy__2[[#This Row],[X (Position in AU)]]^2+horizons_results_fin_use___Copy__2[[#This Row],[Y (Position in AU)]]^2+horizons_results_fin_use___Copy__2[[#This Row],[Z (Position in AU)]]^2)</f>
        <v>1.0061700065247225</v>
      </c>
    </row>
    <row r="967" spans="1:5" x14ac:dyDescent="0.3">
      <c r="A967" s="1">
        <f t="shared" si="15"/>
        <v>966</v>
      </c>
      <c r="B967" s="1">
        <v>0.99435858660320708</v>
      </c>
      <c r="C967" s="1">
        <v>-0.1394642763771394</v>
      </c>
      <c r="D967" s="1">
        <v>-6.0461121386527962E-2</v>
      </c>
      <c r="E967" s="2">
        <f>SQRT(horizons_results_fin_use___Copy__2[[#This Row],[X (Position in AU)]]^2+horizons_results_fin_use___Copy__2[[#This Row],[Y (Position in AU)]]^2+horizons_results_fin_use___Copy__2[[#This Row],[Z (Position in AU)]]^2)</f>
        <v>1.0059099514053151</v>
      </c>
    </row>
    <row r="968" spans="1:5" x14ac:dyDescent="0.3">
      <c r="A968" s="1">
        <f t="shared" si="15"/>
        <v>967</v>
      </c>
      <c r="B968" s="1">
        <v>0.99653978677611454</v>
      </c>
      <c r="C968" s="1">
        <v>-0.1238965625957637</v>
      </c>
      <c r="D968" s="1">
        <v>-5.3712210163009463E-2</v>
      </c>
      <c r="E968" s="2">
        <f>SQRT(horizons_results_fin_use___Copy__2[[#This Row],[X (Position in AU)]]^2+horizons_results_fin_use___Copy__2[[#This Row],[Y (Position in AU)]]^2+horizons_results_fin_use___Copy__2[[#This Row],[Z (Position in AU)]]^2)</f>
        <v>1.0056475060235694</v>
      </c>
    </row>
    <row r="969" spans="1:5" x14ac:dyDescent="0.3">
      <c r="A969" s="1">
        <f t="shared" si="15"/>
        <v>968</v>
      </c>
      <c r="B969" s="1">
        <v>0.99843015458874951</v>
      </c>
      <c r="C969" s="1">
        <v>-0.1082913638310171</v>
      </c>
      <c r="D969" s="1">
        <v>-4.6947075240212813E-2</v>
      </c>
      <c r="E969" s="2">
        <f>SQRT(horizons_results_fin_use___Copy__2[[#This Row],[X (Position in AU)]]^2+horizons_results_fin_use___Copy__2[[#This Row],[Y (Position in AU)]]^2+horizons_results_fin_use___Copy__2[[#This Row],[Z (Position in AU)]]^2)</f>
        <v>1.0053824252224157</v>
      </c>
    </row>
    <row r="970" spans="1:5" x14ac:dyDescent="0.3">
      <c r="A970" s="1">
        <f t="shared" si="15"/>
        <v>969</v>
      </c>
      <c r="B970" s="1">
        <v>1.0000285165300089</v>
      </c>
      <c r="C970" s="1">
        <v>-9.265339741284033E-2</v>
      </c>
      <c r="D970" s="1">
        <v>-4.016780550425484E-2</v>
      </c>
      <c r="E970" s="2">
        <f>SQRT(horizons_results_fin_use___Copy__2[[#This Row],[X (Position in AU)]]^2+horizons_results_fin_use___Copy__2[[#This Row],[Y (Position in AU)]]^2+horizons_results_fin_use___Copy__2[[#This Row],[Z (Position in AU)]]^2)</f>
        <v>1.0051144902568958</v>
      </c>
    </row>
    <row r="971" spans="1:5" x14ac:dyDescent="0.3">
      <c r="A971" s="1">
        <f t="shared" si="15"/>
        <v>970</v>
      </c>
      <c r="B971" s="1">
        <v>1.001333848139413</v>
      </c>
      <c r="C971" s="1">
        <v>-7.6987505466290893E-2</v>
      </c>
      <c r="D971" s="1">
        <v>-3.3376541749033199E-2</v>
      </c>
      <c r="E971" s="2">
        <f>SQRT(horizons_results_fin_use___Copy__2[[#This Row],[X (Position in AU)]]^2+horizons_results_fin_use___Copy__2[[#This Row],[Y (Position in AU)]]^2+horizons_results_fin_use___Copy__2[[#This Row],[Z (Position in AU)]]^2)</f>
        <v>1.0048435425312401</v>
      </c>
    </row>
    <row r="972" spans="1:5" x14ac:dyDescent="0.3">
      <c r="A972" s="1">
        <f t="shared" si="15"/>
        <v>971</v>
      </c>
      <c r="B972" s="1">
        <v>1.002345318130206</v>
      </c>
      <c r="C972" s="1">
        <v>-6.1298634116703041E-2</v>
      </c>
      <c r="D972" s="1">
        <v>-2.6575462869482858E-2</v>
      </c>
      <c r="E972" s="2">
        <f>SQRT(horizons_results_fin_use___Copy__2[[#This Row],[X (Position in AU)]]^2+horizons_results_fin_use___Copy__2[[#This Row],[Y (Position in AU)]]^2+horizons_results_fin_use___Copy__2[[#This Row],[Z (Position in AU)]]^2)</f>
        <v>1.0045695170314717</v>
      </c>
    </row>
    <row r="973" spans="1:5" x14ac:dyDescent="0.3">
      <c r="A973" s="1">
        <f t="shared" si="15"/>
        <v>972</v>
      </c>
      <c r="B973" s="1">
        <v>1.003062320618928</v>
      </c>
      <c r="C973" s="1">
        <v>-4.5591793682361208E-2</v>
      </c>
      <c r="D973" s="1">
        <v>-1.9766764209026538E-2</v>
      </c>
      <c r="E973" s="2">
        <f>SQRT(horizons_results_fin_use___Copy__2[[#This Row],[X (Position in AU)]]^2+horizons_results_fin_use___Copy__2[[#This Row],[Y (Position in AU)]]^2+horizons_results_fin_use___Copy__2[[#This Row],[Z (Position in AU)]]^2)</f>
        <v>1.0042924652031895</v>
      </c>
    </row>
    <row r="974" spans="1:5" x14ac:dyDescent="0.3">
      <c r="A974" s="1">
        <f t="shared" si="15"/>
        <v>973</v>
      </c>
      <c r="B974" s="1">
        <v>1.00348448455377</v>
      </c>
      <c r="C974" s="1">
        <v>-2.9872007558728989E-2</v>
      </c>
      <c r="D974" s="1">
        <v>-1.295263269964906E-2</v>
      </c>
      <c r="E974" s="2">
        <f>SQRT(horizons_results_fin_use___Copy__2[[#This Row],[X (Position in AU)]]^2+horizons_results_fin_use___Copy__2[[#This Row],[Y (Position in AU)]]^2+horizons_results_fin_use___Copy__2[[#This Row],[Z (Position in AU)]]^2)</f>
        <v>1.0040125588206488</v>
      </c>
    </row>
    <row r="975" spans="1:5" x14ac:dyDescent="0.3">
      <c r="A975" s="1">
        <f t="shared" si="15"/>
        <v>974</v>
      </c>
      <c r="B975" s="1">
        <v>1.003611657494528</v>
      </c>
      <c r="C975" s="1">
        <v>-1.4144262865626931E-2</v>
      </c>
      <c r="D975" s="1">
        <v>-6.1352252133762058E-3</v>
      </c>
      <c r="E975" s="2">
        <f>SQRT(horizons_results_fin_use___Copy__2[[#This Row],[X (Position in AU)]]^2+horizons_results_fin_use___Copy__2[[#This Row],[Y (Position in AU)]]^2+horizons_results_fin_use___Copy__2[[#This Row],[Z (Position in AU)]]^2)</f>
        <v>1.00373007338594</v>
      </c>
    </row>
    <row r="976" spans="1:5" x14ac:dyDescent="0.3">
      <c r="A976" s="1">
        <f t="shared" si="15"/>
        <v>975</v>
      </c>
      <c r="B976" s="1">
        <v>1.0034438706632081</v>
      </c>
      <c r="C976" s="1">
        <v>1.58652540794514E-3</v>
      </c>
      <c r="D976" s="1">
        <v>6.8334499033216307E-4</v>
      </c>
      <c r="E976" s="2">
        <f>SQRT(horizons_results_fin_use___Copy__2[[#This Row],[X (Position in AU)]]^2+horizons_results_fin_use___Copy__2[[#This Row],[Y (Position in AU)]]^2+horizons_results_fin_use___Copy__2[[#This Row],[Z (Position in AU)]]^2)</f>
        <v>1.0034453575530693</v>
      </c>
    </row>
    <row r="977" spans="1:5" x14ac:dyDescent="0.3">
      <c r="A977" s="1">
        <f t="shared" si="15"/>
        <v>976</v>
      </c>
      <c r="B977" s="1">
        <v>1.002981297376895</v>
      </c>
      <c r="C977" s="1">
        <v>1.7315531840100849E-2</v>
      </c>
      <c r="D977" s="1">
        <v>7.5010125263549974E-3</v>
      </c>
      <c r="E977" s="2">
        <f>SQRT(horizons_results_fin_use___Copy__2[[#This Row],[X (Position in AU)]]^2+horizons_results_fin_use___Copy__2[[#This Row],[Y (Position in AU)]]^2+horizons_results_fin_use___Copy__2[[#This Row],[Z (Position in AU)]]^2)</f>
        <v>1.0031587988547304</v>
      </c>
    </row>
    <row r="978" spans="1:5" x14ac:dyDescent="0.3">
      <c r="A978" s="1">
        <f t="shared" si="15"/>
        <v>977</v>
      </c>
      <c r="B978" s="1">
        <v>1.002224215539204</v>
      </c>
      <c r="C978" s="1">
        <v>3.3038021921873863E-2</v>
      </c>
      <c r="D978" s="1">
        <v>1.4315756941149071E-2</v>
      </c>
      <c r="E978" s="2">
        <f>SQRT(horizons_results_fin_use___Copy__2[[#This Row],[X (Position in AU)]]^2+horizons_results_fin_use___Copy__2[[#This Row],[Y (Position in AU)]]^2+horizons_results_fin_use___Copy__2[[#This Row],[Z (Position in AU)]]^2)</f>
        <v>1.0028707942713664</v>
      </c>
    </row>
    <row r="979" spans="1:5" x14ac:dyDescent="0.3">
      <c r="A979" s="1">
        <f t="shared" si="15"/>
        <v>978</v>
      </c>
      <c r="B979" s="1">
        <v>1.001172979680228</v>
      </c>
      <c r="C979" s="1">
        <v>4.8749343420764223E-2</v>
      </c>
      <c r="D979" s="1">
        <v>2.1125595951640441E-2</v>
      </c>
      <c r="E979" s="2">
        <f>SQRT(horizons_results_fin_use___Copy__2[[#This Row],[X (Position in AU)]]^2+horizons_results_fin_use___Copy__2[[#This Row],[Y (Position in AU)]]^2+horizons_results_fin_use___Copy__2[[#This Row],[Z (Position in AU)]]^2)</f>
        <v>1.0025817296011601</v>
      </c>
    </row>
    <row r="980" spans="1:5" x14ac:dyDescent="0.3">
      <c r="A980" s="1">
        <f t="shared" si="15"/>
        <v>979</v>
      </c>
      <c r="B980" s="1">
        <v>0.99982800305899855</v>
      </c>
      <c r="C980" s="1">
        <v>6.4444913842691326E-2</v>
      </c>
      <c r="D980" s="1">
        <v>2.7928577778317022E-2</v>
      </c>
      <c r="E980" s="2">
        <f>SQRT(horizons_results_fin_use___Copy__2[[#This Row],[X (Position in AU)]]^2+horizons_results_fin_use___Copy__2[[#This Row],[Y (Position in AU)]]^2+horizons_results_fin_use___Copy__2[[#This Row],[Z (Position in AU)]]^2)</f>
        <v>1.0022919674814601</v>
      </c>
    </row>
    <row r="981" spans="1:5" x14ac:dyDescent="0.3">
      <c r="A981" s="1">
        <f t="shared" si="15"/>
        <v>980</v>
      </c>
      <c r="B981" s="1">
        <v>0.99818974755436907</v>
      </c>
      <c r="C981" s="1">
        <v>8.0120208061486925E-2</v>
      </c>
      <c r="D981" s="1">
        <v>3.4722774279668363E-2</v>
      </c>
      <c r="E981" s="2">
        <f>SQRT(horizons_results_fin_use___Copy__2[[#This Row],[X (Position in AU)]]^2+horizons_results_fin_use___Copy__2[[#This Row],[Y (Position in AU)]]^2+horizons_results_fin_use___Copy__2[[#This Row],[Z (Position in AU)]]^2)</f>
        <v>1.002001841772832</v>
      </c>
    </row>
    <row r="982" spans="1:5" x14ac:dyDescent="0.3">
      <c r="A982" s="1">
        <f t="shared" si="15"/>
        <v>981</v>
      </c>
      <c r="B982" s="1">
        <v>0.99625871837000346</v>
      </c>
      <c r="C982" s="1">
        <v>9.5770747967872313E-2</v>
      </c>
      <c r="D982" s="1">
        <v>4.150627548619009E-2</v>
      </c>
      <c r="E982" s="2">
        <f>SQRT(horizons_results_fin_use___Copy__2[[#This Row],[X (Position in AU)]]^2+horizons_results_fin_use___Copy__2[[#This Row],[Y (Position in AU)]]^2+horizons_results_fin_use___Copy__2[[#This Row],[Z (Position in AU)]]^2)</f>
        <v>1.0017116556171757</v>
      </c>
    </row>
    <row r="983" spans="1:5" x14ac:dyDescent="0.3">
      <c r="A983" s="1">
        <f t="shared" si="15"/>
        <v>982</v>
      </c>
      <c r="B983" s="1">
        <v>0.99403546106139096</v>
      </c>
      <c r="C983" s="1">
        <v>0.1113920944069131</v>
      </c>
      <c r="D983" s="1">
        <v>4.8277185431460638E-2</v>
      </c>
      <c r="E983" s="2">
        <f>SQRT(horizons_results_fin_use___Copy__2[[#This Row],[X (Position in AU)]]^2+horizons_results_fin_use___Copy__2[[#This Row],[Y (Position in AU)]]^2+horizons_results_fin_use___Copy__2[[#This Row],[Z (Position in AU)]]^2)</f>
        <v>1.0014216810001042</v>
      </c>
    </row>
    <row r="984" spans="1:5" x14ac:dyDescent="0.3">
      <c r="A984" s="1">
        <f t="shared" si="15"/>
        <v>983</v>
      </c>
      <c r="B984" s="1">
        <v>0.99152055927034788</v>
      </c>
      <c r="C984" s="1">
        <v>0.12697984082953931</v>
      </c>
      <c r="D984" s="1">
        <v>5.5033618861989812E-2</v>
      </c>
      <c r="E984" s="2">
        <f>SQRT(horizons_results_fin_use___Copy__2[[#This Row],[X (Position in AU)]]^2+horizons_results_fin_use___Copy__2[[#This Row],[Y (Position in AU)]]^2+horizons_results_fin_use___Copy__2[[#This Row],[Z (Position in AU)]]^2)</f>
        <v>1.0011321584276101</v>
      </c>
    </row>
    <row r="985" spans="1:5" x14ac:dyDescent="0.3">
      <c r="A985" s="1">
        <f t="shared" si="15"/>
        <v>984</v>
      </c>
      <c r="B985" s="1">
        <v>0.98871463239875979</v>
      </c>
      <c r="C985" s="1">
        <v>0.14252960779359911</v>
      </c>
      <c r="D985" s="1">
        <v>6.1773698349366239E-2</v>
      </c>
      <c r="E985" s="2">
        <f>SQRT(horizons_results_fin_use___Copy__2[[#This Row],[X (Position in AU)]]^2+horizons_results_fin_use___Copy__2[[#This Row],[Y (Position in AU)]]^2+horizons_results_fin_use___Copy__2[[#This Row],[Z (Position in AU)]]^2)</f>
        <v>1.0008432960383811</v>
      </c>
    </row>
    <row r="986" spans="1:5" x14ac:dyDescent="0.3">
      <c r="A986" s="1">
        <f t="shared" si="15"/>
        <v>985</v>
      </c>
      <c r="B986" s="1">
        <v>0.98561833310521507</v>
      </c>
      <c r="C986" s="1">
        <v>0.15803703750225259</v>
      </c>
      <c r="D986" s="1">
        <v>6.849555141319634E-2</v>
      </c>
      <c r="E986" s="2">
        <f>SQRT(horizons_results_fin_use___Copy__2[[#This Row],[X (Position in AU)]]^2+horizons_results_fin_use___Copy__2[[#This Row],[Y (Position in AU)]]^2+horizons_results_fin_use___Copy__2[[#This Row],[Z (Position in AU)]]^2)</f>
        <v>1.0005552680082139</v>
      </c>
    </row>
    <row r="987" spans="1:5" x14ac:dyDescent="0.3">
      <c r="A987" s="1">
        <f t="shared" si="15"/>
        <v>986</v>
      </c>
      <c r="B987" s="1">
        <v>0.98223234492482137</v>
      </c>
      <c r="C987" s="1">
        <v>0.17349778780491759</v>
      </c>
      <c r="D987" s="1">
        <v>7.5197307413453457E-2</v>
      </c>
      <c r="E987" s="2">
        <f>SQRT(horizons_results_fin_use___Copy__2[[#This Row],[X (Position in AU)]]^2+horizons_results_fin_use___Copy__2[[#This Row],[Y (Position in AU)]]^2+horizons_results_fin_use___Copy__2[[#This Row],[Z (Position in AU)]]^2)</f>
        <v>1.0002682124470152</v>
      </c>
    </row>
    <row r="988" spans="1:5" x14ac:dyDescent="0.3">
      <c r="A988" s="1">
        <f t="shared" si="15"/>
        <v>987</v>
      </c>
      <c r="B988" s="1">
        <v>0.97855738049716046</v>
      </c>
      <c r="C988" s="1">
        <v>0.188907525393465</v>
      </c>
      <c r="D988" s="1">
        <v>8.1877094132313422E-2</v>
      </c>
      <c r="E988" s="2">
        <f>SQRT(horizons_results_fin_use___Copy__2[[#This Row],[X (Position in AU)]]^2+horizons_results_fin_use___Copy__2[[#This Row],[Y (Position in AU)]]^2+horizons_results_fin_use___Copy__2[[#This Row],[Z (Position in AU)]]^2)</f>
        <v>0.99998222915174795</v>
      </c>
    </row>
    <row r="989" spans="1:5" x14ac:dyDescent="0.3">
      <c r="A989" s="1">
        <f t="shared" si="15"/>
        <v>988</v>
      </c>
      <c r="B989" s="1">
        <v>0.97459418086990879</v>
      </c>
      <c r="C989" s="1">
        <v>0.2042619182075068</v>
      </c>
      <c r="D989" s="1">
        <v>8.8533034095822222E-2</v>
      </c>
      <c r="E989" s="2">
        <f>SQRT(horizons_results_fin_use___Copy__2[[#This Row],[X (Position in AU)]]^2+horizons_results_fin_use___Copy__2[[#This Row],[Y (Position in AU)]]^2+horizons_results_fin_use___Copy__2[[#This Row],[Z (Position in AU)]]^2)</f>
        <v>0.99969737758059096</v>
      </c>
    </row>
    <row r="990" spans="1:5" x14ac:dyDescent="0.3">
      <c r="A990" s="1">
        <f t="shared" si="15"/>
        <v>989</v>
      </c>
      <c r="B990" s="1">
        <v>0.9703435161919054</v>
      </c>
      <c r="C990" s="1">
        <v>0.2195566272359864</v>
      </c>
      <c r="D990" s="1">
        <v>9.5163240752765527E-2</v>
      </c>
      <c r="E990" s="2">
        <f>SQRT(horizons_results_fin_use___Copy__2[[#This Row],[X (Position in AU)]]^2+horizons_results_fin_use___Copy__2[[#This Row],[Y (Position in AU)]]^2+horizons_results_fin_use___Copy__2[[#This Row],[Z (Position in AU)]]^2)</f>
        <v>0.99941367529641156</v>
      </c>
    </row>
    <row r="991" spans="1:5" x14ac:dyDescent="0.3">
      <c r="A991" s="1">
        <f t="shared" si="15"/>
        <v>990</v>
      </c>
      <c r="B991" s="1">
        <v>0.96580618792460848</v>
      </c>
      <c r="C991" s="1">
        <v>0.23478729791976261</v>
      </c>
      <c r="D991" s="1">
        <v>0.1017658146191754</v>
      </c>
      <c r="E991" s="2">
        <f>SQRT(horizons_results_fin_use___Copy__2[[#This Row],[X (Position in AU)]]^2+horizons_results_fin_use___Copy__2[[#This Row],[Y (Position in AU)]]^2+horizons_results_fin_use___Copy__2[[#This Row],[Z (Position in AU)]]^2)</f>
        <v>0.99913109696527402</v>
      </c>
    </row>
    <row r="992" spans="1:5" x14ac:dyDescent="0.3">
      <c r="A992" s="1">
        <f t="shared" si="15"/>
        <v>991</v>
      </c>
      <c r="B992" s="1">
        <v>0.96098303261164764</v>
      </c>
      <c r="C992" s="1">
        <v>0.24994955123104781</v>
      </c>
      <c r="D992" s="1">
        <v>0.1083388394283466</v>
      </c>
      <c r="E992" s="2">
        <f>SQRT(horizons_results_fin_use___Copy__2[[#This Row],[X (Position in AU)]]^2+horizons_results_fin_use___Copy__2[[#This Row],[Y (Position in AU)]]^2+horizons_results_fin_use___Copy__2[[#This Row],[Z (Position in AU)]]^2)</f>
        <v>0.99884957388826179</v>
      </c>
    </row>
    <row r="993" spans="1:5" x14ac:dyDescent="0.3">
      <c r="A993" s="1">
        <f t="shared" si="15"/>
        <v>992</v>
      </c>
      <c r="B993" s="1">
        <v>0.95587492736420199</v>
      </c>
      <c r="C993" s="1">
        <v>0.26503897431366352</v>
      </c>
      <c r="D993" s="1">
        <v>0.1148803782473084</v>
      </c>
      <c r="E993" s="2">
        <f>SQRT(horizons_results_fin_use___Copy__2[[#This Row],[X (Position in AU)]]^2+horizons_results_fin_use___Copy__2[[#This Row],[Y (Position in AU)]]^2+horizons_results_fin_use___Copy__2[[#This Row],[Z (Position in AU)]]^2)</f>
        <v>0.99856899409855593</v>
      </c>
    </row>
    <row r="994" spans="1:5" x14ac:dyDescent="0.3">
      <c r="A994" s="1">
        <f t="shared" si="15"/>
        <v>993</v>
      </c>
      <c r="B994" s="1">
        <v>0.95048279759601029</v>
      </c>
      <c r="C994" s="1">
        <v>0.28005111046465231</v>
      </c>
      <c r="D994" s="1">
        <v>0.12138846950698801</v>
      </c>
      <c r="E994" s="2">
        <f>SQRT(horizons_results_fin_use___Copy__2[[#This Row],[X (Position in AU)]]^2+horizons_results_fin_use___Copy__2[[#This Row],[Y (Position in AU)]]^2+horizons_results_fin_use___Copy__2[[#This Row],[Z (Position in AU)]]^2)</f>
        <v>0.99828920335124938</v>
      </c>
    </row>
    <row r="995" spans="1:5" x14ac:dyDescent="0.3">
      <c r="A995" s="1">
        <f t="shared" si="15"/>
        <v>994</v>
      </c>
      <c r="B995" s="1">
        <v>0.94480762811978813</v>
      </c>
      <c r="C995" s="1">
        <v>0.29498144842582069</v>
      </c>
      <c r="D995" s="1">
        <v>0.1278611230342257</v>
      </c>
      <c r="E995" s="2">
        <f>SQRT(horizons_results_fin_use___Copy__2[[#This Row],[X (Position in AU)]]^2+horizons_results_fin_use___Copy__2[[#This Row],[Y (Position in AU)]]^2+horizons_results_fin_use___Copy__2[[#This Row],[Z (Position in AU)]]^2)</f>
        <v>0.99801000789185901</v>
      </c>
    </row>
    <row r="996" spans="1:5" x14ac:dyDescent="0.3">
      <c r="A996" s="1">
        <f t="shared" si="15"/>
        <v>995</v>
      </c>
      <c r="B996" s="1">
        <v>0.93885047927383247</v>
      </c>
      <c r="C996" s="1">
        <v>0.30982541164428801</v>
      </c>
      <c r="D996" s="1">
        <v>0.1342963165469056</v>
      </c>
      <c r="E996" s="2">
        <f>SQRT(horizons_results_fin_use___Copy__2[[#This Row],[X (Position in AU)]]^2+horizons_results_fin_use___Copy__2[[#This Row],[Y (Position in AU)]]^2+horizons_results_fin_use___Copy__2[[#This Row],[Z (Position in AU)]]^2)</f>
        <v>0.99773118061496113</v>
      </c>
    </row>
    <row r="997" spans="1:5" x14ac:dyDescent="0.3">
      <c r="A997" s="1">
        <f t="shared" si="15"/>
        <v>996</v>
      </c>
      <c r="B997" s="1">
        <v>0.9326125098319229</v>
      </c>
      <c r="C997" s="1">
        <v>0.32457834946673081</v>
      </c>
      <c r="D997" s="1">
        <v>0.14069199368906851</v>
      </c>
      <c r="E997" s="2">
        <f>SQRT(horizons_results_fin_use___Copy__2[[#This Row],[X (Position in AU)]]^2+horizons_results_fin_use___Copy__2[[#This Row],[Y (Position in AU)]]^2+horizons_results_fin_use___Copy__2[[#This Row],[Z (Position in AU)]]^2)</f>
        <v>0.99745247281549743</v>
      </c>
    </row>
    <row r="998" spans="1:5" x14ac:dyDescent="0.3">
      <c r="A998" s="1">
        <f t="shared" si="15"/>
        <v>997</v>
      </c>
      <c r="B998" s="1">
        <v>0.92609500740278372</v>
      </c>
      <c r="C998" s="1">
        <v>0.33923553394238692</v>
      </c>
      <c r="D998" s="1">
        <v>0.14704606538149051</v>
      </c>
      <c r="E998" s="2">
        <f>SQRT(horizons_results_fin_use___Copy__2[[#This Row],[X (Position in AU)]]^2+horizons_results_fin_use___Copy__2[[#This Row],[Y (Position in AU)]]^2+horizons_results_fin_use___Copy__2[[#This Row],[Z (Position in AU)]]^2)</f>
        <v>0.99717363361137656</v>
      </c>
    </row>
    <row r="999" spans="1:5" x14ac:dyDescent="0.3">
      <c r="A999" s="1">
        <f t="shared" si="15"/>
        <v>998</v>
      </c>
      <c r="B999" s="1">
        <v>0.91929942429659139</v>
      </c>
      <c r="C999" s="1">
        <v>0.35379216719681827</v>
      </c>
      <c r="D999" s="1">
        <v>0.15335641660771859</v>
      </c>
      <c r="E999" s="2">
        <f>SQRT(horizons_results_fin_use___Copy__2[[#This Row],[X (Position in AU)]]^2+horizons_results_fin_use___Copy__2[[#This Row],[Y (Position in AU)]]^2+horizons_results_fin_use___Copy__2[[#This Row],[Z (Position in AU)]]^2)</f>
        <v>0.99689443753921403</v>
      </c>
    </row>
    <row r="1000" spans="1:5" x14ac:dyDescent="0.3">
      <c r="A1000" s="1">
        <f t="shared" si="15"/>
        <v>999</v>
      </c>
      <c r="B1000" s="1">
        <v>0.91222741274295127</v>
      </c>
      <c r="C1000" s="1">
        <v>0.36824340373897563</v>
      </c>
      <c r="D1000" s="1">
        <v>0.15962092009424811</v>
      </c>
      <c r="E1000" s="2">
        <f>SQRT(horizons_results_fin_use___Copy__2[[#This Row],[X (Position in AU)]]^2+horizons_results_fin_use___Copy__2[[#This Row],[Y (Position in AU)]]^2+horizons_results_fin_use___Copy__2[[#This Row],[Z (Position in AU)]]^2)</f>
        <v>0.99661471747546415</v>
      </c>
    </row>
    <row r="1001" spans="1:5" x14ac:dyDescent="0.3">
      <c r="A1001" s="1">
        <f t="shared" si="15"/>
        <v>1000</v>
      </c>
      <c r="B1001" s="1">
        <v>0.90488084985554007</v>
      </c>
      <c r="C1001" s="1">
        <v>0.38258438833020031</v>
      </c>
      <c r="D1001" s="1">
        <v>0.1658374562789158</v>
      </c>
      <c r="E1001" s="2">
        <f>SQRT(horizons_results_fin_use___Copy__2[[#This Row],[X (Position in AU)]]^2+horizons_results_fin_use___Copy__2[[#This Row],[Y (Position in AU)]]^2+horizons_results_fin_use___Copy__2[[#This Row],[Z (Position in AU)]]^2)</f>
        <v>0.99633439594060946</v>
      </c>
    </row>
    <row r="1002" spans="1:5" x14ac:dyDescent="0.3">
      <c r="A1002" s="1">
        <f t="shared" si="15"/>
        <v>1001</v>
      </c>
      <c r="B1002" s="1">
        <v>0.89726184297181599</v>
      </c>
      <c r="C1002" s="1">
        <v>0.39681030383511828</v>
      </c>
      <c r="D1002" s="1">
        <v>0.17200393609202019</v>
      </c>
      <c r="E1002" s="2">
        <f>SQRT(horizons_results_fin_use___Copy__2[[#This Row],[X (Position in AU)]]^2+horizons_results_fin_use___Copy__2[[#This Row],[Y (Position in AU)]]^2+horizons_results_fin_use___Copy__2[[#This Row],[Z (Position in AU)]]^2)</f>
        <v>0.99605350564818884</v>
      </c>
    </row>
    <row r="1003" spans="1:5" x14ac:dyDescent="0.3">
      <c r="A1003" s="1">
        <f t="shared" si="15"/>
        <v>1002</v>
      </c>
      <c r="B1003" s="1">
        <v>0.88937271160946074</v>
      </c>
      <c r="C1003" s="1">
        <v>0.41091641818417429</v>
      </c>
      <c r="D1003" s="1">
        <v>0.17811832113527379</v>
      </c>
      <c r="E1003" s="2">
        <f>SQRT(horizons_results_fin_use___Copy__2[[#This Row],[X (Position in AU)]]^2+horizons_results_fin_use___Copy__2[[#This Row],[Y (Position in AU)]]^2+horizons_results_fin_use___Copy__2[[#This Row],[Z (Position in AU)]]^2)</f>
        <v>0.99577219242802961</v>
      </c>
    </row>
    <row r="1004" spans="1:5" x14ac:dyDescent="0.3">
      <c r="A1004" s="1">
        <f t="shared" si="15"/>
        <v>1003</v>
      </c>
      <c r="B1004" s="1">
        <v>0.88121595084231519</v>
      </c>
      <c r="C1004" s="1">
        <v>0.42489811917540699</v>
      </c>
      <c r="D1004" s="1">
        <v>0.18417863645622529</v>
      </c>
      <c r="E1004" s="2">
        <f>SQRT(horizons_results_fin_use___Copy__2[[#This Row],[X (Position in AU)]]^2+horizons_results_fin_use___Copy__2[[#This Row],[Y (Position in AU)]]^2+horizons_results_fin_use___Copy__2[[#This Row],[Z (Position in AU)]]^2)</f>
        <v>0.99549070001914053</v>
      </c>
    </row>
    <row r="1005" spans="1:5" x14ac:dyDescent="0.3">
      <c r="A1005" s="1">
        <f t="shared" si="15"/>
        <v>1004</v>
      </c>
      <c r="B1005" s="1">
        <v>0.87279418707381196</v>
      </c>
      <c r="C1005" s="1">
        <v>0.43875093101549412</v>
      </c>
      <c r="D1005" s="1">
        <v>0.19018297410215401</v>
      </c>
      <c r="E1005" s="2">
        <f>SQRT(horizons_results_fin_use___Copy__2[[#This Row],[X (Position in AU)]]^2+horizons_results_fin_use___Copy__2[[#This Row],[Y (Position in AU)]]^2+horizons_results_fin_use___Copy__2[[#This Row],[Z (Position in AU)]]^2)</f>
        <v>0.9952093428496035</v>
      </c>
    </row>
    <row r="1006" spans="1:5" x14ac:dyDescent="0.3">
      <c r="A1006" s="1">
        <f t="shared" si="15"/>
        <v>1005</v>
      </c>
      <c r="B1006" s="1">
        <v>0.86411013746349774</v>
      </c>
      <c r="C1006" s="1">
        <v>0.45247051369774133</v>
      </c>
      <c r="D1006" s="1">
        <v>0.19612948901647681</v>
      </c>
      <c r="E1006" s="2">
        <f>SQRT(horizons_results_fin_use___Copy__2[[#This Row],[X (Position in AU)]]^2+horizons_results_fin_use___Copy__2[[#This Row],[Y (Position in AU)]]^2+horizons_results_fin_use___Copy__2[[#This Row],[Z (Position in AU)]]^2)</f>
        <v>0.994928475768458</v>
      </c>
    </row>
    <row r="1007" spans="1:5" x14ac:dyDescent="0.3">
      <c r="A1007" s="1">
        <f t="shared" si="15"/>
        <v>1006</v>
      </c>
      <c r="B1007" s="1">
        <v>0.85516657977803645</v>
      </c>
      <c r="C1007" s="1">
        <v>0.46605265116792433</v>
      </c>
      <c r="D1007" s="1">
        <v>0.2020163906831263</v>
      </c>
      <c r="E1007" s="2">
        <f>SQRT(horizons_results_fin_use___Copy__2[[#This Row],[X (Position in AU)]]^2+horizons_results_fin_use___Copy__2[[#This Row],[Y (Position in AU)]]^2+horizons_results_fin_use___Copy__2[[#This Row],[Z (Position in AU)]]^2)</f>
        <v>0.99464846802001017</v>
      </c>
    </row>
    <row r="1008" spans="1:5" x14ac:dyDescent="0.3">
      <c r="A1008" s="1">
        <f t="shared" si="15"/>
        <v>1007</v>
      </c>
      <c r="B1008" s="1">
        <v>0.84596633396364274</v>
      </c>
      <c r="C1008" s="1">
        <v>0.47949323511655662</v>
      </c>
      <c r="D1008" s="1">
        <v>0.20784193382696581</v>
      </c>
      <c r="E1008" s="2">
        <f>SQRT(horizons_results_fin_use___Copy__2[[#This Row],[X (Position in AU)]]^2+horizons_results_fin_use___Copy__2[[#This Row],[Y (Position in AU)]]^2+horizons_results_fin_use___Copy__2[[#This Row],[Z (Position in AU)]]^2)</f>
        <v>0.99436968486542254</v>
      </c>
    </row>
    <row r="1009" spans="1:5" x14ac:dyDescent="0.3">
      <c r="A1009" s="1">
        <f t="shared" si="15"/>
        <v>1008</v>
      </c>
      <c r="B1009" s="1">
        <v>0.83651225310013866</v>
      </c>
      <c r="C1009" s="1">
        <v>0.49278824939939653</v>
      </c>
      <c r="D1009" s="1">
        <v>0.21360441028320359</v>
      </c>
      <c r="E1009" s="2">
        <f>SQRT(horizons_results_fin_use___Copy__2[[#This Row],[X (Position in AU)]]^2+horizons_results_fin_use___Copy__2[[#This Row],[Y (Position in AU)]]^2+horizons_results_fin_use___Copy__2[[#This Row],[Z (Position in AU)]]^2)</f>
        <v>0.99409247679741919</v>
      </c>
    </row>
    <row r="1010" spans="1:5" x14ac:dyDescent="0.3">
      <c r="A1010" s="1">
        <f t="shared" si="15"/>
        <v>1009</v>
      </c>
      <c r="B1010" s="1">
        <v>0.82680722016104158</v>
      </c>
      <c r="C1010" s="1">
        <v>0.50593375753907133</v>
      </c>
      <c r="D1010" s="1">
        <v>0.21930214284597699</v>
      </c>
      <c r="E1010" s="2">
        <f>SQRT(horizons_results_fin_use___Copy__2[[#This Row],[X (Position in AU)]]^2+horizons_results_fin_use___Copy__2[[#This Row],[Y (Position in AU)]]^2+horizons_results_fin_use___Copy__2[[#This Row],[Z (Position in AU)]]^2)</f>
        <v>0.99381717442639839</v>
      </c>
    </row>
    <row r="1011" spans="1:5" x14ac:dyDescent="0.3">
      <c r="A1011" s="1">
        <f t="shared" si="15"/>
        <v>1010</v>
      </c>
      <c r="B1011" s="1">
        <v>0.81685414736319217</v>
      </c>
      <c r="C1011" s="1">
        <v>0.51892589375037534</v>
      </c>
      <c r="D1011" s="1">
        <v>0.22493348100330141</v>
      </c>
      <c r="E1011" s="2">
        <f>SQRT(horizons_results_fin_use___Copy__2[[#This Row],[X (Position in AU)]]^2+horizons_results_fin_use___Copy__2[[#This Row],[Y (Position in AU)]]^2+horizons_results_fin_use___Copy__2[[#This Row],[Z (Position in AU)]]^2)</f>
        <v>0.99354408666416816</v>
      </c>
    </row>
    <row r="1012" spans="1:5" x14ac:dyDescent="0.3">
      <c r="A1012" s="1">
        <f t="shared" si="15"/>
        <v>1011</v>
      </c>
      <c r="B1012" s="1">
        <v>0.80665597587817917</v>
      </c>
      <c r="C1012" s="1">
        <v>0.53176085677196916</v>
      </c>
      <c r="D1012" s="1">
        <v>0.23049679801773401</v>
      </c>
      <c r="E1012" s="2">
        <f>SQRT(horizons_results_fin_use___Copy__2[[#This Row],[X (Position in AU)]]^2+horizons_results_fin_use___Copy__2[[#This Row],[Y (Position in AU)]]^2+horizons_results_fin_use___Copy__2[[#This Row],[Z (Position in AU)]]^2)</f>
        <v>0.99327350015555349</v>
      </c>
    </row>
    <row r="1013" spans="1:5" x14ac:dyDescent="0.3">
      <c r="A1013" s="1">
        <f t="shared" si="15"/>
        <v>1012</v>
      </c>
      <c r="B1013" s="1">
        <v>0.79621567471019539</v>
      </c>
      <c r="C1013" s="1">
        <v>0.54443490530410854</v>
      </c>
      <c r="D1013" s="1">
        <v>0.2359904886837435</v>
      </c>
      <c r="E1013" s="2">
        <f>SQRT(horizons_results_fin_use___Copy__2[[#This Row],[X (Position in AU)]]^2+horizons_results_fin_use___Copy__2[[#This Row],[Y (Position in AU)]]^2+horizons_results_fin_use___Copy__2[[#This Row],[Z (Position in AU)]]^2)</f>
        <v>0.99300567849176835</v>
      </c>
    </row>
    <row r="1014" spans="1:5" x14ac:dyDescent="0.3">
      <c r="A1014" s="1">
        <f t="shared" si="15"/>
        <v>1013</v>
      </c>
      <c r="B1014" s="1">
        <v>0.78553623840374875</v>
      </c>
      <c r="C1014" s="1">
        <v>0.55694435378640084</v>
      </c>
      <c r="D1014" s="1">
        <v>0.24141296714282809</v>
      </c>
      <c r="E1014" s="2">
        <f>SQRT(horizons_results_fin_use___Copy__2[[#This Row],[X (Position in AU)]]^2+horizons_results_fin_use___Copy__2[[#This Row],[Y (Position in AU)]]^2+horizons_results_fin_use___Copy__2[[#This Row],[Z (Position in AU)]]^2)</f>
        <v>0.99274086032799469</v>
      </c>
    </row>
    <row r="1015" spans="1:5" x14ac:dyDescent="0.3">
      <c r="A1015" s="1">
        <f t="shared" si="15"/>
        <v>1014</v>
      </c>
      <c r="B1015" s="1">
        <v>0.77462068390048544</v>
      </c>
      <c r="C1015" s="1">
        <v>0.56928556742408543</v>
      </c>
      <c r="D1015" s="1">
        <v>0.24676266428034099</v>
      </c>
      <c r="E1015" s="2">
        <f>SQRT(horizons_results_fin_use___Copy__2[[#This Row],[X (Position in AU)]]^2+horizons_results_fin_use___Copy__2[[#This Row],[Y (Position in AU)]]^2+horizons_results_fin_use___Copy__2[[#This Row],[Z (Position in AU)]]^2)</f>
        <v>0.9924792560484833</v>
      </c>
    </row>
    <row r="1016" spans="1:5" x14ac:dyDescent="0.3">
      <c r="A1016" s="1">
        <f t="shared" si="15"/>
        <v>1015</v>
      </c>
      <c r="B1016" s="1">
        <v>0.763472047329814</v>
      </c>
      <c r="C1016" s="1">
        <v>0.5814549556995191</v>
      </c>
      <c r="D1016" s="1">
        <v>0.25203802442448803</v>
      </c>
      <c r="E1016" s="2">
        <f>SQRT(horizons_results_fin_use___Copy__2[[#This Row],[X (Position in AU)]]^2+horizons_results_fin_use___Copy__2[[#This Row],[Y (Position in AU)]]^2+horizons_results_fin_use___Copy__2[[#This Row],[Z (Position in AU)]]^2)</f>
        <v>0.99222104307321879</v>
      </c>
    </row>
    <row r="1017" spans="1:5" x14ac:dyDescent="0.3">
      <c r="A1017" s="1">
        <f t="shared" si="15"/>
        <v>1016</v>
      </c>
      <c r="B1017" s="1">
        <v>0.75209338178301277</v>
      </c>
      <c r="C1017" s="1">
        <v>0.5934489640407995</v>
      </c>
      <c r="D1017" s="1">
        <v>0.25723750129517081</v>
      </c>
      <c r="E1017" s="2">
        <f>SQRT(horizons_results_fin_use___Copy__2[[#This Row],[X (Position in AU)]]^2+horizons_results_fin_use___Copy__2[[#This Row],[Y (Position in AU)]]^2+horizons_results_fin_use___Copy__2[[#This Row],[Z (Position in AU)]]^2)</f>
        <v>0.99196636027412222</v>
      </c>
    </row>
    <row r="1018" spans="1:5" x14ac:dyDescent="0.3">
      <c r="A1018" s="1">
        <f t="shared" si="15"/>
        <v>1017</v>
      </c>
      <c r="B1018" s="1">
        <v>0.74048775715561688</v>
      </c>
      <c r="C1018" s="1">
        <v>0.60526406380186581</v>
      </c>
      <c r="D1018" s="1">
        <v>0.26235955337754302</v>
      </c>
      <c r="E1018" s="2">
        <f>SQRT(horizons_results_fin_use___Copy__2[[#This Row],[X (Position in AU)]]^2+horizons_results_fin_use___Copy__2[[#This Row],[Y (Position in AU)]]^2+horizons_results_fin_use___Copy__2[[#This Row],[Z (Position in AU)]]^2)</f>
        <v>0.99171530222930848</v>
      </c>
    </row>
    <row r="1019" spans="1:5" x14ac:dyDescent="0.3">
      <c r="A1019" s="1">
        <f t="shared" si="15"/>
        <v>1018</v>
      </c>
      <c r="B1019" s="1">
        <v>0.72865826294241709</v>
      </c>
      <c r="C1019" s="1">
        <v>0.61689674114248549</v>
      </c>
      <c r="D1019" s="1">
        <v>0.26740263907740769</v>
      </c>
      <c r="E1019" s="2">
        <f>SQRT(horizons_results_fin_use___Copy__2[[#This Row],[X (Position in AU)]]^2+horizons_results_fin_use___Copy__2[[#This Row],[Y (Position in AU)]]^2+horizons_results_fin_use___Copy__2[[#This Row],[Z (Position in AU)]]^2)</f>
        <v>0.99146791414147228</v>
      </c>
    </row>
    <row r="1020" spans="1:5" x14ac:dyDescent="0.3">
      <c r="A1020" s="1">
        <f t="shared" si="15"/>
        <v>1019</v>
      </c>
      <c r="B1020" s="1">
        <v>0.71660801449772737</v>
      </c>
      <c r="C1020" s="1">
        <v>0.62834348567442067</v>
      </c>
      <c r="D1020" s="1">
        <v>0.27236521210903042</v>
      </c>
      <c r="E1020" s="2">
        <f>SQRT(horizons_results_fin_use___Copy__2[[#This Row],[X (Position in AU)]]^2+horizons_results_fin_use___Copy__2[[#This Row],[Y (Position in AU)]]^2+horizons_results_fin_use___Copy__2[[#This Row],[Z (Position in AU)]]^2)</f>
        <v>0.99122418816282576</v>
      </c>
    </row>
    <row r="1021" spans="1:5" x14ac:dyDescent="0.3">
      <c r="A1021" s="1">
        <f t="shared" si="15"/>
        <v>1020</v>
      </c>
      <c r="B1021" s="1">
        <v>0.70434016287279066</v>
      </c>
      <c r="C1021" s="1">
        <v>0.6396007798013692</v>
      </c>
      <c r="D1021" s="1">
        <v>0.27724571755607619</v>
      </c>
      <c r="E1021" s="2">
        <f>SQRT(horizons_results_fin_use___Copy__2[[#This Row],[X (Position in AU)]]^2+horizons_results_fin_use___Copy__2[[#This Row],[Y (Position in AU)]]^2+horizons_results_fin_use___Copy__2[[#This Row],[Z (Position in AU)]]^2)</f>
        <v>0.9909840616585982</v>
      </c>
    </row>
    <row r="1022" spans="1:5" x14ac:dyDescent="0.3">
      <c r="A1022" s="1">
        <f t="shared" si="15"/>
        <v>1021</v>
      </c>
      <c r="B1022" s="1">
        <v>0.69185790807780256</v>
      </c>
      <c r="C1022" s="1">
        <v>0.65066508957001068</v>
      </c>
      <c r="D1022" s="1">
        <v>0.28204258896978152</v>
      </c>
      <c r="E1022" s="2">
        <f>SQRT(horizons_results_fin_use___Copy__2[[#This Row],[X (Position in AU)]]^2+horizons_results_fin_use___Copy__2[[#This Row],[Y (Position in AU)]]^2+horizons_results_fin_use___Copy__2[[#This Row],[Z (Position in AU)]]^2)</f>
        <v>0.99074741773457087</v>
      </c>
    </row>
    <row r="1023" spans="1:5" x14ac:dyDescent="0.3">
      <c r="A1023" s="1">
        <f t="shared" si="15"/>
        <v>1022</v>
      </c>
      <c r="B1023" s="1">
        <v>0.6791645155779672</v>
      </c>
      <c r="C1023" s="1">
        <v>0.66153285772649573</v>
      </c>
      <c r="D1023" s="1">
        <v>0.28675424680724337</v>
      </c>
      <c r="E1023" s="2">
        <f>SQRT(horizons_results_fin_use___Copy__2[[#This Row],[X (Position in AU)]]^2+horizons_results_fin_use___Copy__2[[#This Row],[Y (Position in AU)]]^2+horizons_results_fin_use___Copy__2[[#This Row],[Z (Position in AU)]]^2)</f>
        <v>0.99051408830668752</v>
      </c>
    </row>
    <row r="1024" spans="1:5" x14ac:dyDescent="0.3">
      <c r="A1024" s="1">
        <f t="shared" si="15"/>
        <v>1023</v>
      </c>
      <c r="B1024" s="1">
        <v>0.66626333594424136</v>
      </c>
      <c r="C1024" s="1">
        <v>0.67220049974610585</v>
      </c>
      <c r="D1024" s="1">
        <v>0.29137909855625288</v>
      </c>
      <c r="E1024" s="2">
        <f>SQRT(horizons_results_fin_use___Copy__2[[#This Row],[X (Position in AU)]]^2+horizons_results_fin_use___Copy__2[[#This Row],[Y (Position in AU)]]^2+horizons_results_fin_use___Copy__2[[#This Row],[Z (Position in AU)]]^2)</f>
        <v>0.9902838601925803</v>
      </c>
    </row>
    <row r="1025" spans="1:5" x14ac:dyDescent="0.3">
      <c r="A1025" s="1">
        <f t="shared" si="15"/>
        <v>1024</v>
      </c>
      <c r="B1025" s="1">
        <v>0.65315782756813068</v>
      </c>
      <c r="C1025" s="1">
        <v>0.68266440400643491</v>
      </c>
      <c r="D1025" s="1">
        <v>0.29591554107703522</v>
      </c>
      <c r="E1025" s="2">
        <f>SQRT(horizons_results_fin_use___Copy__2[[#This Row],[X (Position in AU)]]^2+horizons_results_fin_use___Copy__2[[#This Row],[Y (Position in AU)]]^2+horizons_results_fin_use___Copy__2[[#This Row],[Z (Position in AU)]]^2)</f>
        <v>0.99005648508653055</v>
      </c>
    </row>
    <row r="1026" spans="1:5" x14ac:dyDescent="0.3">
      <c r="A1026" s="1">
        <f t="shared" si="15"/>
        <v>1025</v>
      </c>
      <c r="B1026" s="1">
        <v>0.63985158182299873</v>
      </c>
      <c r="C1026" s="1">
        <v>0.69292093791580289</v>
      </c>
      <c r="D1026" s="1">
        <v>0.30036196593625542</v>
      </c>
      <c r="E1026" s="2">
        <f>SQRT(horizons_results_fin_use___Copy__2[[#This Row],[X (Position in AU)]]^2+horizons_results_fin_use___Copy__2[[#This Row],[Y (Position in AU)]]^2+horizons_results_fin_use___Copy__2[[#This Row],[Z (Position in AU)]]^2)</f>
        <v>0.98983169455448428</v>
      </c>
    </row>
    <row r="1027" spans="1:5" x14ac:dyDescent="0.3">
      <c r="A1027" s="1">
        <f t="shared" si="15"/>
        <v>1026</v>
      </c>
      <c r="B1027" s="1">
        <v>0.62634834870920564</v>
      </c>
      <c r="C1027" s="1">
        <v>0.70296646225541159</v>
      </c>
      <c r="D1027" s="1">
        <v>0.30471676858566499</v>
      </c>
      <c r="E1027" s="2">
        <f>SQRT(horizons_results_fin_use___Copy__2[[#This Row],[X (Position in AU)]]^2+horizons_results_fin_use___Copy__2[[#This Row],[Y (Position in AU)]]^2+horizons_results_fin_use___Copy__2[[#This Row],[Z (Position in AU)]]^2)</f>
        <v>0.98960922087656777</v>
      </c>
    </row>
    <row r="1028" spans="1:5" x14ac:dyDescent="0.3">
      <c r="A1028" s="1">
        <f t="shared" ref="A1028:A1091" si="16">A1027+1</f>
        <v>1027</v>
      </c>
      <c r="B1028" s="1">
        <v>0.61265205900009578</v>
      </c>
      <c r="C1028" s="1">
        <v>0.71279735550777612</v>
      </c>
      <c r="D1028" s="1">
        <v>0.30897836181962163</v>
      </c>
      <c r="E1028" s="2">
        <f>SQRT(horizons_results_fin_use___Copy__2[[#This Row],[X (Position in AU)]]^2+horizons_results_fin_use___Copy__2[[#This Row],[Y (Position in AU)]]^2+horizons_results_fin_use___Copy__2[[#This Row],[Z (Position in AU)]]^2)</f>
        <v>0.98938882320787969</v>
      </c>
    </row>
    <row r="1029" spans="1:5" x14ac:dyDescent="0.3">
      <c r="A1029" s="1">
        <f t="shared" si="16"/>
        <v>1028</v>
      </c>
      <c r="B1029" s="1">
        <v>0.59876683714001977</v>
      </c>
      <c r="C1029" s="1">
        <v>0.72241004786277419</v>
      </c>
      <c r="D1029" s="1">
        <v>0.31314519281554248</v>
      </c>
      <c r="E1029" s="2">
        <f>SQRT(horizons_results_fin_use___Copy__2[[#This Row],[X (Position in AU)]]^2+horizons_results_fin_use___Copy__2[[#This Row],[Y (Position in AU)]]^2+horizons_results_fin_use___Copy__2[[#This Row],[Z (Position in AU)]]^2)</f>
        <v>0.98917031612116313</v>
      </c>
    </row>
    <row r="1030" spans="1:5" x14ac:dyDescent="0.3">
      <c r="A1030" s="1">
        <f t="shared" si="16"/>
        <v>1029</v>
      </c>
      <c r="B1030" s="1">
        <v>0.58469699921370533</v>
      </c>
      <c r="C1030" s="1">
        <v>0.73180106108021936</v>
      </c>
      <c r="D1030" s="1">
        <v>0.31721576144622049</v>
      </c>
      <c r="E1030" s="2">
        <f>SQRT(horizons_results_fin_use___Copy__2[[#This Row],[X (Position in AU)]]^2+horizons_results_fin_use___Copy__2[[#This Row],[Y (Position in AU)]]^2+horizons_results_fin_use___Copy__2[[#This Row],[Z (Position in AU)]]^2)</f>
        <v>0.98895359506781311</v>
      </c>
    </row>
    <row r="1031" spans="1:5" x14ac:dyDescent="0.3">
      <c r="A1031" s="1">
        <f t="shared" si="16"/>
        <v>1030</v>
      </c>
      <c r="B1031" s="1">
        <v>0.57044703338182279</v>
      </c>
      <c r="C1031" s="1">
        <v>0.74096704699886684</v>
      </c>
      <c r="D1031" s="1">
        <v>0.321188636283254</v>
      </c>
      <c r="E1031" s="2">
        <f>SQRT(horizons_results_fin_use___Copy__2[[#This Row],[X (Position in AU)]]^2+horizons_results_fin_use___Copy__2[[#This Row],[Y (Position in AU)]]^2+horizons_results_fin_use___Copy__2[[#This Row],[Z (Position in AU)]]^2)</f>
        <v>0.98873865237980851</v>
      </c>
    </row>
    <row r="1032" spans="1:5" x14ac:dyDescent="0.3">
      <c r="A1032" s="1">
        <f t="shared" si="16"/>
        <v>1031</v>
      </c>
      <c r="B1032" s="1">
        <v>0.55602156555408788</v>
      </c>
      <c r="C1032" s="1">
        <v>0.7499048165444534</v>
      </c>
      <c r="D1032" s="1">
        <v>0.32506246479400758</v>
      </c>
      <c r="E1032" s="2">
        <f>SQRT(horizons_results_fin_use___Copy__2[[#This Row],[X (Position in AU)]]^2+horizons_results_fin_use___Copy__2[[#This Row],[Y (Position in AU)]]^2+horizons_results_fin_use___Copy__2[[#This Row],[Z (Position in AU)]]^2)</f>
        <v>0.98852557946456021</v>
      </c>
    </row>
    <row r="1033" spans="1:5" x14ac:dyDescent="0.3">
      <c r="A1033" s="1">
        <f t="shared" si="16"/>
        <v>1032</v>
      </c>
      <c r="B1033" s="1">
        <v>0.54142531795444271</v>
      </c>
      <c r="C1033" s="1">
        <v>0.75861135380923617</v>
      </c>
      <c r="D1033" s="1">
        <v>0.32883597595932951</v>
      </c>
      <c r="E1033" s="2">
        <f>SQRT(horizons_results_fin_use___Copy__2[[#This Row],[X (Position in AU)]]^2+horizons_results_fin_use___Copy__2[[#This Row],[Y (Position in AU)]]^2+horizons_results_fin_use___Copy__2[[#This Row],[Z (Position in AU)]]^2)</f>
        <v>0.98831455525833278</v>
      </c>
    </row>
    <row r="1034" spans="1:5" x14ac:dyDescent="0.3">
      <c r="A1034" s="1">
        <f t="shared" si="16"/>
        <v>1033</v>
      </c>
      <c r="B1034" s="1">
        <v>0.5266630697394431</v>
      </c>
      <c r="C1034" s="1">
        <v>0.76708381483840271</v>
      </c>
      <c r="D1034" s="1">
        <v>0.33250797602236049</v>
      </c>
      <c r="E1034" s="2">
        <f>SQRT(horizons_results_fin_use___Copy__2[[#This Row],[X (Position in AU)]]^2+horizons_results_fin_use___Copy__2[[#This Row],[Y (Position in AU)]]^2+horizons_results_fin_use___Copy__2[[#This Row],[Z (Position in AU)]]^2)</f>
        <v>0.98810582537140079</v>
      </c>
    </row>
    <row r="1035" spans="1:5" x14ac:dyDescent="0.3">
      <c r="A1035" s="1">
        <f t="shared" si="16"/>
        <v>1034</v>
      </c>
      <c r="B1035" s="1">
        <v>0.5117396264165478</v>
      </c>
      <c r="C1035" s="1">
        <v>0.77531951526140941</v>
      </c>
      <c r="D1035" s="1">
        <v>0.33607733992716748</v>
      </c>
      <c r="E1035" s="2">
        <f>SQRT(horizons_results_fin_use___Copy__2[[#This Row],[X (Position in AU)]]^2+horizons_results_fin_use___Copy__2[[#This Row],[Y (Position in AU)]]^2+horizons_results_fin_use___Copy__2[[#This Row],[Z (Position in AU)]]^2)</f>
        <v>0.98789967830881265</v>
      </c>
    </row>
    <row r="1036" spans="1:5" x14ac:dyDescent="0.3">
      <c r="A1036" s="1">
        <f t="shared" si="16"/>
        <v>1035</v>
      </c>
      <c r="B1036" s="1">
        <v>0.4966598004632431</v>
      </c>
      <c r="C1036" s="1">
        <v>0.78331591275323165</v>
      </c>
      <c r="D1036" s="1">
        <v>0.33954300144254651</v>
      </c>
      <c r="E1036" s="2">
        <f>SQRT(horizons_results_fin_use___Copy__2[[#This Row],[X (Position in AU)]]^2+horizons_results_fin_use___Copy__2[[#This Row],[Y (Position in AU)]]^2+horizons_results_fin_use___Copy__2[[#This Row],[Z (Position in AU)]]^2)</f>
        <v>0.98769642421000492</v>
      </c>
    </row>
    <row r="1037" spans="1:5" x14ac:dyDescent="0.3">
      <c r="A1037" s="1">
        <f t="shared" si="16"/>
        <v>1036</v>
      </c>
      <c r="B1037" s="1">
        <v>0.48142840179876822</v>
      </c>
      <c r="C1037" s="1">
        <v>0.79107058949505626</v>
      </c>
      <c r="D1037" s="1">
        <v>0.34290394423032461</v>
      </c>
      <c r="E1037" s="2">
        <f>SQRT(horizons_results_fin_use___Copy__2[[#This Row],[X (Position in AU)]]^2+horizons_results_fin_use___Copy__2[[#This Row],[Y (Position in AU)]]^2+horizons_results_fin_use___Copy__2[[#This Row],[Z (Position in AU)]]^2)</f>
        <v>0.98749637902692367</v>
      </c>
    </row>
    <row r="1038" spans="1:5" x14ac:dyDescent="0.3">
      <c r="A1038" s="1">
        <f t="shared" si="16"/>
        <v>1037</v>
      </c>
      <c r="B1038" s="1">
        <v>0.46605023487876762</v>
      </c>
      <c r="C1038" s="1">
        <v>0.79858123767955369</v>
      </c>
      <c r="D1038" s="1">
        <v>0.34615919495593128</v>
      </c>
      <c r="E1038" s="2">
        <f>SQRT(horizons_results_fin_use___Copy__2[[#This Row],[X (Position in AU)]]^2+horizons_results_fin_use___Copy__2[[#This Row],[Y (Position in AU)]]^2+horizons_results_fin_use___Copy__2[[#This Row],[Z (Position in AU)]]^2)</f>
        <v>0.98729985458162639</v>
      </c>
    </row>
    <row r="1039" spans="1:5" x14ac:dyDescent="0.3">
      <c r="A1039" s="1">
        <f t="shared" si="16"/>
        <v>1038</v>
      </c>
      <c r="B1039" s="1">
        <v>0.45053009900881741</v>
      </c>
      <c r="C1039" s="1">
        <v>0.8058456490114585</v>
      </c>
      <c r="D1039" s="1">
        <v>0.34930781855483523</v>
      </c>
      <c r="E1039" s="2">
        <f>SQRT(horizons_results_fin_use___Copy__2[[#This Row],[X (Position in AU)]]^2+horizons_results_fin_use___Copy__2[[#This Row],[Y (Position in AU)]]^2+horizons_results_fin_use___Copy__2[[#This Row],[Z (Position in AU)]]^2)</f>
        <v>0.98710715337653754</v>
      </c>
    </row>
    <row r="1040" spans="1:5" x14ac:dyDescent="0.3">
      <c r="A1040" s="1">
        <f t="shared" si="16"/>
        <v>1039</v>
      </c>
      <c r="B1040" s="1">
        <v>0.4348727892294259</v>
      </c>
      <c r="C1040" s="1">
        <v>0.81286170772326016</v>
      </c>
      <c r="D1040" s="1">
        <v>0.35234891518004091</v>
      </c>
      <c r="E1040" s="2">
        <f>SQRT(horizons_results_fin_use___Copy__2[[#This Row],[X (Position in AU)]]^2+horizons_results_fin_use___Copy__2[[#This Row],[Y (Position in AU)]]^2+horizons_results_fin_use___Copy__2[[#This Row],[Z (Position in AU)]]^2)</f>
        <v>0.98691856640936038</v>
      </c>
    </row>
    <row r="1041" spans="1:5" x14ac:dyDescent="0.3">
      <c r="A1041" s="1">
        <f t="shared" si="16"/>
        <v>1040</v>
      </c>
      <c r="B1041" s="1">
        <v>0.41908309614133582</v>
      </c>
      <c r="C1041" s="1">
        <v>0.81962738588824802</v>
      </c>
      <c r="D1041" s="1">
        <v>0.355281618112747</v>
      </c>
      <c r="E1041" s="2">
        <f>SQRT(horizons_results_fin_use___Copy__2[[#This Row],[X (Position in AU)]]^2+horizons_results_fin_use___Copy__2[[#This Row],[Y (Position in AU)]]^2+horizons_results_fin_use___Copy__2[[#This Row],[Z (Position in AU)]]^2)</f>
        <v>0.98673437222903249</v>
      </c>
    </row>
    <row r="1042" spans="1:5" x14ac:dyDescent="0.3">
      <c r="A1042" s="1">
        <f t="shared" si="16"/>
        <v>1041</v>
      </c>
      <c r="B1042" s="1">
        <v>0.40316580398359642</v>
      </c>
      <c r="C1042" s="1">
        <v>0.82614073955442735</v>
      </c>
      <c r="D1042" s="1">
        <v>0.3581050918895945</v>
      </c>
      <c r="E1042" s="2">
        <f>SQRT(horizons_results_fin_use___Copy__2[[#This Row],[X (Position in AU)]]^2+horizons_results_fin_use___Copy__2[[#This Row],[Y (Position in AU)]]^2+horizons_results_fin_use___Copy__2[[#This Row],[Z (Position in AU)]]^2)</f>
        <v>0.98655483572406188</v>
      </c>
    </row>
    <row r="1043" spans="1:5" x14ac:dyDescent="0.3">
      <c r="A1043" s="1">
        <f t="shared" si="16"/>
        <v>1042</v>
      </c>
      <c r="B1043" s="1">
        <v>0.38712568707674111</v>
      </c>
      <c r="C1043" s="1">
        <v>0.83239990424423138</v>
      </c>
      <c r="D1043" s="1">
        <v>0.36081852998710873</v>
      </c>
      <c r="E1043" s="2">
        <f>SQRT(horizons_results_fin_use___Copy__2[[#This Row],[X (Position in AU)]]^2+horizons_results_fin_use___Copy__2[[#This Row],[Y (Position in AU)]]^2+horizons_results_fin_use___Copy__2[[#This Row],[Z (Position in AU)]]^2)</f>
        <v>0.98638020547986593</v>
      </c>
    </row>
    <row r="1044" spans="1:5" x14ac:dyDescent="0.3">
      <c r="A1044" s="1">
        <f t="shared" si="16"/>
        <v>1043</v>
      </c>
      <c r="B1044" s="1">
        <v>0.37096750543143231</v>
      </c>
      <c r="C1044" s="1">
        <v>0.83840308857767876</v>
      </c>
      <c r="D1044" s="1">
        <v>0.36342115156887511</v>
      </c>
      <c r="E1044" s="2">
        <f>SQRT(horizons_results_fin_use___Copy__2[[#This Row],[X (Position in AU)]]^2+horizons_results_fin_use___Copy__2[[#This Row],[Y (Position in AU)]]^2+horizons_results_fin_use___Copy__2[[#This Row],[Z (Position in AU)]]^2)</f>
        <v>0.98621070894117657</v>
      </c>
    </row>
    <row r="1045" spans="1:5" x14ac:dyDescent="0.3">
      <c r="A1045" s="1">
        <f t="shared" si="16"/>
        <v>1044</v>
      </c>
      <c r="B1045" s="1">
        <v>0.354696000909065</v>
      </c>
      <c r="C1045" s="1">
        <v>0.84414856518836645</v>
      </c>
      <c r="D1045" s="1">
        <v>0.36591219704793732</v>
      </c>
      <c r="E1045" s="2">
        <f>SQRT(horizons_results_fin_use___Copy__2[[#This Row],[X (Position in AU)]]^2+horizons_results_fin_use___Copy__2[[#This Row],[Y (Position in AU)]]^2+horizons_results_fin_use___Copy__2[[#This Row],[Z (Position in AU)]]^2)</f>
        <v>0.9860465451077397</v>
      </c>
    </row>
    <row r="1046" spans="1:5" x14ac:dyDescent="0.3">
      <c r="A1046" s="1">
        <f t="shared" si="16"/>
        <v>1045</v>
      </c>
      <c r="B1046" s="1">
        <v>0.33831589572696857</v>
      </c>
      <c r="C1046" s="1">
        <v>0.8496346587486161</v>
      </c>
      <c r="D1046" s="1">
        <v>0.36829092255471729</v>
      </c>
      <c r="E1046" s="2">
        <f>SQRT(horizons_results_fin_use___Copy__2[[#This Row],[X (Position in AU)]]^2+horizons_results_fin_use___Copy__2[[#This Row],[Y (Position in AU)]]^2+horizons_results_fin_use___Copy__2[[#This Row],[Z (Position in AU)]]^2)</f>
        <v>0.98588787510782538</v>
      </c>
    </row>
    <row r="1047" spans="1:5" x14ac:dyDescent="0.3">
      <c r="A1047" s="1">
        <f t="shared" si="16"/>
        <v>1046</v>
      </c>
      <c r="B1047" s="1">
        <v>0.32183189516510108</v>
      </c>
      <c r="C1047" s="1">
        <v>0.85485973177570329</v>
      </c>
      <c r="D1047" s="1">
        <v>0.37055659380127209</v>
      </c>
      <c r="E1047" s="2">
        <f>SQRT(horizons_results_fin_use___Copy__2[[#This Row],[X (Position in AU)]]^2+horizons_results_fin_use___Copy__2[[#This Row],[Y (Position in AU)]]^2+horizons_results_fin_use___Copy__2[[#This Row],[Z (Position in AU)]]^2)</f>
        <v>0.98573481168455701</v>
      </c>
    </row>
    <row r="1048" spans="1:5" x14ac:dyDescent="0.3">
      <c r="A1048" s="1">
        <f t="shared" si="16"/>
        <v>1047</v>
      </c>
      <c r="B1048" s="1">
        <v>0.30524869589330539</v>
      </c>
      <c r="C1048" s="1">
        <v>0.8598221697930577</v>
      </c>
      <c r="D1048" s="1">
        <v>0.37270848020540681</v>
      </c>
      <c r="E1048" s="2">
        <f>SQRT(horizons_results_fin_use___Copy__2[[#This Row],[X (Position in AU)]]^2+horizons_results_fin_use___Copy__2[[#This Row],[Y (Position in AU)]]^2+horizons_results_fin_use___Copy__2[[#This Row],[Z (Position in AU)]]^2)</f>
        <v>0.98558740922823762</v>
      </c>
    </row>
    <row r="1049" spans="1:5" x14ac:dyDescent="0.3">
      <c r="A1049" s="1">
        <f t="shared" si="16"/>
        <v>1048</v>
      </c>
      <c r="B1049" s="1">
        <v>0.28857100038248318</v>
      </c>
      <c r="C1049" s="1">
        <v>0.86452036807765065</v>
      </c>
      <c r="D1049" s="1">
        <v>0.37474585034747182</v>
      </c>
      <c r="E1049" s="2">
        <f>SQRT(horizons_results_fin_use___Copy__2[[#This Row],[X (Position in AU)]]^2+horizons_results_fin_use___Copy__2[[#This Row],[Y (Position in AU)]]^2+horizons_results_fin_use___Copy__2[[#This Row],[Z (Position in AU)]]^2)</f>
        <v>0.98544565625685998</v>
      </c>
    </row>
    <row r="1050" spans="1:5" x14ac:dyDescent="0.3">
      <c r="A1050" s="1">
        <f t="shared" si="16"/>
        <v>1049</v>
      </c>
      <c r="B1050" s="1">
        <v>0.27180353662328749</v>
      </c>
      <c r="C1050" s="1">
        <v>0.86895272234802956</v>
      </c>
      <c r="D1050" s="1">
        <v>0.37666796976808548</v>
      </c>
      <c r="E1050" s="2">
        <f>SQRT(horizons_results_fin_use___Copy__2[[#This Row],[X (Position in AU)]]^2+horizons_results_fin_use___Copy__2[[#This Row],[Y (Position in AU)]]^2+horizons_results_fin_use___Copy__2[[#This Row],[Z (Position in AU)]]^2)</f>
        <v>0.98530947201688357</v>
      </c>
    </row>
    <row r="1051" spans="1:5" x14ac:dyDescent="0.3">
      <c r="A1051" s="1">
        <f t="shared" si="16"/>
        <v>1050</v>
      </c>
      <c r="B1051" s="1">
        <v>0.25495108128078903</v>
      </c>
      <c r="C1051" s="1">
        <v>0.87311762524650116</v>
      </c>
      <c r="D1051" s="1">
        <v>0.37847410177694019</v>
      </c>
      <c r="E1051" s="2">
        <f>SQRT(horizons_results_fin_use___Copy__2[[#This Row],[X (Position in AU)]]^2+horizons_results_fin_use___Copy__2[[#This Row],[Y (Position in AU)]]^2+horizons_results_fin_use___Copy__2[[#This Row],[Z (Position in AU)]]^2)</f>
        <v>0.98517870819369358</v>
      </c>
    </row>
    <row r="1052" spans="1:5" x14ac:dyDescent="0.3">
      <c r="A1052" s="1">
        <f t="shared" si="16"/>
        <v>1051</v>
      </c>
      <c r="B1052" s="1">
        <v>0.2380184838496836</v>
      </c>
      <c r="C1052" s="1">
        <v>0.8770134695613877</v>
      </c>
      <c r="D1052" s="1">
        <v>0.38016351146931349</v>
      </c>
      <c r="E1052" s="2">
        <f>SQRT(horizons_results_fin_use___Copy__2[[#This Row],[X (Position in AU)]]^2+horizons_results_fin_use___Copy__2[[#This Row],[Y (Position in AU)]]^2+horizons_results_fin_use___Copy__2[[#This Row],[Z (Position in AU)]]^2)</f>
        <v>0.98505315587479036</v>
      </c>
    </row>
    <row r="1053" spans="1:5" x14ac:dyDescent="0.3">
      <c r="A1053" s="1">
        <f t="shared" si="16"/>
        <v>1052</v>
      </c>
      <c r="B1053" s="1">
        <v>0.22101068942516941</v>
      </c>
      <c r="C1053" s="1">
        <v>0.88063865823461795</v>
      </c>
      <c r="D1053" s="1">
        <v>0.38173547273650088</v>
      </c>
      <c r="E1053" s="2">
        <f>SQRT(horizons_results_fin_use___Copy__2[[#This Row],[X (Position in AU)]]^2+horizons_results_fin_use___Copy__2[[#This Row],[Y (Position in AU)]]^2+horizons_results_fin_use___Copy__2[[#This Row],[Z (Position in AU)]]^2)</f>
        <v>0.98493255726613926</v>
      </c>
    </row>
    <row r="1054" spans="1:5" x14ac:dyDescent="0.3">
      <c r="A1054" s="1">
        <f t="shared" si="16"/>
        <v>1053</v>
      </c>
      <c r="B1054" s="1">
        <v>0.2039327580895875</v>
      </c>
      <c r="C1054" s="1">
        <v>0.88399162063454328</v>
      </c>
      <c r="D1054" s="1">
        <v>0.38318927783308271</v>
      </c>
      <c r="E1054" s="2">
        <f>SQRT(horizons_results_fin_use___Copy__2[[#This Row],[X (Position in AU)]]^2+horizons_results_fin_use___Copy__2[[#This Row],[Y (Position in AU)]]^2+horizons_results_fin_use___Copy__2[[#This Row],[Z (Position in AU)]]^2)</f>
        <v>0.98481662141758752</v>
      </c>
    </row>
    <row r="1055" spans="1:5" x14ac:dyDescent="0.3">
      <c r="A1055" s="1">
        <f t="shared" si="16"/>
        <v>1054</v>
      </c>
      <c r="B1055" s="1">
        <v>0.18678987920664231</v>
      </c>
      <c r="C1055" s="1">
        <v>0.8870708343497854</v>
      </c>
      <c r="D1055" s="1">
        <v>0.38452424898873783</v>
      </c>
      <c r="E1055" s="2">
        <f>SQRT(horizons_results_fin_use___Copy__2[[#This Row],[X (Position in AU)]]^2+horizons_results_fin_use___Copy__2[[#This Row],[Y (Position in AU)]]^2+horizons_results_fin_use___Copy__2[[#This Row],[Z (Position in AU)]]^2)</f>
        <v>0.98470504324310704</v>
      </c>
    </row>
    <row r="1056" spans="1:5" x14ac:dyDescent="0.3">
      <c r="A1056" s="1">
        <f t="shared" si="16"/>
        <v>1055</v>
      </c>
      <c r="B1056" s="1">
        <v>0.1695873788836495</v>
      </c>
      <c r="C1056" s="1">
        <v>0.88987485155501811</v>
      </c>
      <c r="D1056" s="1">
        <v>0.38573975145466322</v>
      </c>
      <c r="E1056" s="2">
        <f>SQRT(horizons_results_fin_use___Copy__2[[#This Row],[X (Position in AU)]]^2+horizons_results_fin_use___Copy__2[[#This Row],[Y (Position in AU)]]^2+horizons_results_fin_use___Copy__2[[#This Row],[Z (Position in AU)]]^2)</f>
        <v>0.98459752506239684</v>
      </c>
    </row>
    <row r="1057" spans="1:5" x14ac:dyDescent="0.3">
      <c r="A1057" s="1">
        <f t="shared" si="16"/>
        <v>1056</v>
      </c>
      <c r="B1057" s="1">
        <v>0.15233071870783349</v>
      </c>
      <c r="C1057" s="1">
        <v>0.8924023284109901</v>
      </c>
      <c r="D1057" s="1">
        <v>0.38683520708879099</v>
      </c>
      <c r="E1057" s="2">
        <f>SQRT(horizons_results_fin_use___Copy__2[[#This Row],[X (Position in AU)]]^2+horizons_results_fin_use___Copy__2[[#This Row],[Y (Position in AU)]]^2+horizons_results_fin_use___Copy__2[[#This Row],[Z (Position in AU)]]^2)</f>
        <v>0.98449379940090509</v>
      </c>
    </row>
    <row r="1058" spans="1:5" x14ac:dyDescent="0.3">
      <c r="A1058" s="1">
        <f t="shared" si="16"/>
        <v>1057</v>
      </c>
      <c r="B1058" s="1">
        <v>0.1350254841601809</v>
      </c>
      <c r="C1058" s="1">
        <v>0.89465205487348243</v>
      </c>
      <c r="D1058" s="1">
        <v>0.3878101071133036</v>
      </c>
      <c r="E1058" s="2">
        <f>SQRT(horizons_results_fin_use___Copy__2[[#This Row],[X (Position in AU)]]^2+horizons_results_fin_use___Copy__2[[#This Row],[Y (Position in AU)]]^2+horizons_results_fin_use___Copy__2[[#This Row],[Z (Position in AU)]]^2)</f>
        <v>0.98439365085379738</v>
      </c>
    </row>
    <row r="1059" spans="1:5" x14ac:dyDescent="0.3">
      <c r="A1059" s="1">
        <f t="shared" si="16"/>
        <v>1058</v>
      </c>
      <c r="B1059" s="1">
        <v>0.11767736241458419</v>
      </c>
      <c r="C1059" s="1">
        <v>0.89662298112940209</v>
      </c>
      <c r="D1059" s="1">
        <v>0.38866402227471752</v>
      </c>
      <c r="E1059" s="2">
        <f>SQRT(horizons_results_fin_use___Copy__2[[#This Row],[X (Position in AU)]]^2+horizons_results_fin_use___Copy__2[[#This Row],[Y (Position in AU)]]^2+horizons_results_fin_use___Copy__2[[#This Row],[Z (Position in AU)]]^2)</f>
        <v>0.98429693392034479</v>
      </c>
    </row>
    <row r="1060" spans="1:5" x14ac:dyDescent="0.3">
      <c r="A1060" s="1">
        <f t="shared" si="16"/>
        <v>1059</v>
      </c>
      <c r="B1060" s="1">
        <v>0.1002921115176285</v>
      </c>
      <c r="C1060" s="1">
        <v>0.89831423650918962</v>
      </c>
      <c r="D1060" s="1">
        <v>0.38939660869259501</v>
      </c>
      <c r="E1060" s="2">
        <f>SQRT(horizons_results_fin_use___Copy__2[[#This Row],[X (Position in AU)]]^2+horizons_results_fin_use___Copy__2[[#This Row],[Y (Position in AU)]]^2+horizons_results_fin_use___Copy__2[[#This Row],[Z (Position in AU)]]^2)</f>
        <v>0.98420358361928684</v>
      </c>
    </row>
    <row r="1061" spans="1:5" x14ac:dyDescent="0.3">
      <c r="A1061" s="1">
        <f t="shared" si="16"/>
        <v>1060</v>
      </c>
      <c r="B1061" s="1">
        <v>8.2875525338118886E-2</v>
      </c>
      <c r="C1061" s="1">
        <v>0.89972513783993135</v>
      </c>
      <c r="D1061" s="1">
        <v>0.39000760843196031</v>
      </c>
      <c r="E1061" s="2">
        <f>SQRT(horizons_results_fin_use___Copy__2[[#This Row],[X (Position in AU)]]^2+horizons_results_fin_use___Copy__2[[#This Row],[Y (Position in AU)]]^2+horizons_results_fin_use___Copy__2[[#This Row],[Z (Position in AU)]]^2)</f>
        <v>0.98411361691421073</v>
      </c>
    </row>
    <row r="1062" spans="1:5" x14ac:dyDescent="0.3">
      <c r="A1062" s="1">
        <f t="shared" si="16"/>
        <v>1061</v>
      </c>
      <c r="B1062" s="1">
        <v>6.5433399878891643E-2</v>
      </c>
      <c r="C1062" s="1">
        <v>0.90085518666426556</v>
      </c>
      <c r="D1062" s="1">
        <v>0.39049684508534482</v>
      </c>
      <c r="E1062" s="2">
        <f>SQRT(horizons_results_fin_use___Copy__2[[#This Row],[X (Position in AU)]]^2+horizons_results_fin_use___Copy__2[[#This Row],[Y (Position in AU)]]^2+horizons_results_fin_use___Copy__2[[#This Row],[Z (Position in AU)]]^2)</f>
        <v>0.98402712522634639</v>
      </c>
    </row>
    <row r="1063" spans="1:5" x14ac:dyDescent="0.3">
      <c r="A1063" s="1">
        <f t="shared" si="16"/>
        <v>1062</v>
      </c>
      <c r="B1063" s="1">
        <v>4.7971505795718503E-2</v>
      </c>
      <c r="C1063" s="1">
        <v>0.90170405749290872</v>
      </c>
      <c r="D1063" s="1">
        <v>0.39086421583895348</v>
      </c>
      <c r="E1063" s="2">
        <f>SQRT(horizons_results_fin_use___Copy__2[[#This Row],[X (Position in AU)]]^2+horizons_results_fin_use___Copy__2[[#This Row],[Y (Position in AU)]]^2+horizons_results_fin_use___Copy__2[[#This Row],[Z (Position in AU)]]^2)</f>
        <v>0.98394426056097473</v>
      </c>
    </row>
    <row r="1064" spans="1:5" x14ac:dyDescent="0.3">
      <c r="A1064" s="1">
        <f t="shared" si="16"/>
        <v>1063</v>
      </c>
      <c r="B1064" s="1">
        <v>3.0495569658997919E-2</v>
      </c>
      <c r="C1064" s="1">
        <v>0.90227158101319271</v>
      </c>
      <c r="D1064" s="1">
        <v>0.39110968207766428</v>
      </c>
      <c r="E1064" s="2">
        <f>SQRT(horizons_results_fin_use___Copy__2[[#This Row],[X (Position in AU)]]^2+horizons_results_fin_use___Copy__2[[#This Row],[Y (Position in AU)]]^2+horizons_results_fin_use___Copy__2[[#This Row],[Z (Position in AU)]]^2)</f>
        <v>0.98386521896434809</v>
      </c>
    </row>
    <row r="1065" spans="1:5" x14ac:dyDescent="0.3">
      <c r="A1065" s="1">
        <f t="shared" si="16"/>
        <v>1064</v>
      </c>
      <c r="B1065" s="1">
        <v>1.301126382650955E-2</v>
      </c>
      <c r="C1065" s="1">
        <v>0.90255772634743714</v>
      </c>
      <c r="D1065" s="1">
        <v>0.39123326040008738</v>
      </c>
      <c r="E1065" s="2">
        <f>SQRT(horizons_results_fin_use___Copy__2[[#This Row],[X (Position in AU)]]^2+horizons_results_fin_use___Copy__2[[#This Row],[Y (Position in AU)]]^2+horizons_results_fin_use___Copy__2[[#This Row],[Z (Position in AU)]]^2)</f>
        <v>0.98379022480359146</v>
      </c>
    </row>
    <row r="1066" spans="1:5" x14ac:dyDescent="0.3">
      <c r="A1066" s="1">
        <f t="shared" si="16"/>
        <v>1065</v>
      </c>
      <c r="B1066" s="1">
        <v>-4.4757971181721198E-3</v>
      </c>
      <c r="C1066" s="1">
        <v>0.9025625853663326</v>
      </c>
      <c r="D1066" s="1">
        <v>0.39123501522572479</v>
      </c>
      <c r="E1066" s="2">
        <f>SQRT(horizons_results_fin_use___Copy__2[[#This Row],[X (Position in AU)]]^2+horizons_results_fin_use___Copy__2[[#This Row],[Y (Position in AU)]]^2+horizons_results_fin_use___Copy__2[[#This Row],[Z (Position in AU)]]^2)</f>
        <v>0.98371951815630587</v>
      </c>
    </row>
    <row r="1067" spans="1:5" x14ac:dyDescent="0.3">
      <c r="A1067" s="1">
        <f t="shared" si="16"/>
        <v>1066</v>
      </c>
      <c r="B1067" s="1">
        <v>-2.1960056149339831E-2</v>
      </c>
      <c r="C1067" s="1">
        <v>0.90228636049718547</v>
      </c>
      <c r="D1067" s="1">
        <v>0.39111505338296743</v>
      </c>
      <c r="E1067" s="2">
        <f>SQRT(horizons_results_fin_use___Copy__2[[#This Row],[X (Position in AU)]]^2+horizons_results_fin_use___Copy__2[[#This Row],[Y (Position in AU)]]^2+horizons_results_fin_use___Copy__2[[#This Row],[Z (Position in AU)]]^2)</f>
        <v>0.98365334614797129</v>
      </c>
    </row>
    <row r="1068" spans="1:5" x14ac:dyDescent="0.3">
      <c r="A1068" s="1">
        <f t="shared" si="16"/>
        <v>1067</v>
      </c>
      <c r="B1068" s="1">
        <v>-3.9436012385480099E-2</v>
      </c>
      <c r="C1068" s="1">
        <v>0.90172935608378135</v>
      </c>
      <c r="D1068" s="1">
        <v>0.39087352045058271</v>
      </c>
      <c r="E1068" s="2">
        <f>SQRT(horizons_results_fin_use___Copy__2[[#This Row],[X (Position in AU)]]^2+horizons_results_fin_use___Copy__2[[#This Row],[Y (Position in AU)]]^2+horizons_results_fin_use___Copy__2[[#This Row],[Z (Position in AU)]]^2)</f>
        <v>0.98359195792034149</v>
      </c>
    </row>
    <row r="1069" spans="1:5" x14ac:dyDescent="0.3">
      <c r="A1069" s="1">
        <f t="shared" si="16"/>
        <v>1068</v>
      </c>
      <c r="B1069" s="1">
        <v>-5.6898220359394569E-2</v>
      </c>
      <c r="C1069" s="1">
        <v>0.90089197243186636</v>
      </c>
      <c r="D1069" s="1">
        <v>0.39051059826956658</v>
      </c>
      <c r="E1069" s="2">
        <f>SQRT(horizons_results_fin_use___Copy__2[[#This Row],[X (Position in AU)]]^2+horizons_results_fin_use___Copy__2[[#This Row],[Y (Position in AU)]]^2+horizons_results_fin_use___Copy__2[[#This Row],[Z (Position in AU)]]^2)</f>
        <v>0.98353560221941105</v>
      </c>
    </row>
    <row r="1070" spans="1:5" x14ac:dyDescent="0.3">
      <c r="A1070" s="1">
        <f t="shared" si="16"/>
        <v>1069</v>
      </c>
      <c r="B1070" s="1">
        <v>-7.4341291022290187E-2</v>
      </c>
      <c r="C1070" s="1">
        <v>0.89977470118682623</v>
      </c>
      <c r="D1070" s="1">
        <v>0.39002650289974899</v>
      </c>
      <c r="E1070" s="2">
        <f>SQRT(horizons_results_fin_use___Copy__2[[#This Row],[X (Position in AU)]]^2+horizons_results_fin_use___Copy__2[[#This Row],[Y (Position in AU)]]^2+horizons_results_fin_use___Copy__2[[#This Row],[Z (Position in AU)]]^2)</f>
        <v>0.98348452626917893</v>
      </c>
    </row>
    <row r="1071" spans="1:5" x14ac:dyDescent="0.3">
      <c r="A1071" s="1">
        <f t="shared" si="16"/>
        <v>1070</v>
      </c>
      <c r="B1071" s="1">
        <v>-9.1759894724576338E-2</v>
      </c>
      <c r="C1071" s="1">
        <v>0.89837812050182642</v>
      </c>
      <c r="D1071" s="1">
        <v>0.38942148228851542</v>
      </c>
      <c r="E1071" s="2">
        <f>SQRT(horizons_results_fin_use___Copy__2[[#This Row],[X (Position in AU)]]^2+horizons_results_fin_use___Copy__2[[#This Row],[Y (Position in AU)]]^2+horizons_results_fin_use___Copy__2[[#This Row],[Z (Position in AU)]]^2)</f>
        <v>0.98343897448903461</v>
      </c>
    </row>
    <row r="1072" spans="1:5" x14ac:dyDescent="0.3">
      <c r="A1072" s="1">
        <f t="shared" si="16"/>
        <v>1071</v>
      </c>
      <c r="B1072" s="1">
        <v>-0.1091487656333484</v>
      </c>
      <c r="C1072" s="1">
        <v>0.89670288847069579</v>
      </c>
      <c r="D1072" s="1">
        <v>0.38869581300365041</v>
      </c>
      <c r="E1072" s="2">
        <f>SQRT(horizons_results_fin_use___Copy__2[[#This Row],[X (Position in AU)]]^2+horizons_results_fin_use___Copy__2[[#This Row],[Y (Position in AU)]]^2+horizons_results_fin_use___Copy__2[[#This Row],[Z (Position in AU)]]^2)</f>
        <v>0.98339918561972661</v>
      </c>
    </row>
    <row r="1073" spans="1:5" x14ac:dyDescent="0.3">
      <c r="A1073" s="1">
        <f t="shared" si="16"/>
        <v>1072</v>
      </c>
      <c r="B1073" s="1">
        <v>-0.12650270624591639</v>
      </c>
      <c r="C1073" s="1">
        <v>0.89474973353251208</v>
      </c>
      <c r="D1073" s="1">
        <v>0.3878497955684686</v>
      </c>
      <c r="E1073" s="2">
        <f>SQRT(horizons_results_fin_use___Copy__2[[#This Row],[X (Position in AU)]]^2+horizons_results_fin_use___Copy__2[[#This Row],[Y (Position in AU)]]^2+horizons_results_fin_use___Copy__2[[#This Row],[Z (Position in AU)]]^2)</f>
        <v>0.98336538695773956</v>
      </c>
    </row>
    <row r="1074" spans="1:5" x14ac:dyDescent="0.3">
      <c r="A1074" s="1">
        <f t="shared" si="16"/>
        <v>1073</v>
      </c>
      <c r="B1074" s="1">
        <v>-0.14381658987504761</v>
      </c>
      <c r="C1074" s="1">
        <v>0.89251944111935133</v>
      </c>
      <c r="D1074" s="1">
        <v>0.38688374827442618</v>
      </c>
      <c r="E1074" s="2">
        <f>SQRT(horizons_results_fin_use___Copy__2[[#This Row],[X (Position in AU)]]^2+horizons_results_fin_use___Copy__2[[#This Row],[Y (Position in AU)]]^2+horizons_results_fin_use___Copy__2[[#This Row],[Z (Position in AU)]]^2)</f>
        <v>0.98333778478107736</v>
      </c>
    </row>
    <row r="1075" spans="1:5" x14ac:dyDescent="0.3">
      <c r="A1075" s="1">
        <f t="shared" si="16"/>
        <v>1074</v>
      </c>
      <c r="B1075" s="1">
        <v>-0.16108535842523741</v>
      </c>
      <c r="C1075" s="1">
        <v>0.89001283684674948</v>
      </c>
      <c r="D1075" s="1">
        <v>0.38579799987399921</v>
      </c>
      <c r="E1075" s="2">
        <f>SQRT(horizons_results_fin_use___Copy__2[[#This Row],[X (Position in AU)]]^2+horizons_results_fin_use___Copy__2[[#This Row],[Y (Position in AU)]]^2+horizons_results_fin_use___Copy__2[[#This Row],[Z (Position in AU)]]^2)</f>
        <v>0.98331655084096103</v>
      </c>
    </row>
    <row r="1076" spans="1:5" x14ac:dyDescent="0.3">
      <c r="A1076" s="1">
        <f t="shared" si="16"/>
        <v>1075</v>
      </c>
      <c r="B1076" s="1">
        <v>-0.17830401285138359</v>
      </c>
      <c r="C1076" s="1">
        <v>0.88723076802009582</v>
      </c>
      <c r="D1076" s="1">
        <v>0.384592882226716</v>
      </c>
      <c r="E1076" s="2">
        <f>SQRT(horizons_results_fin_use___Copy__2[[#This Row],[X (Position in AU)]]^2+horizons_results_fin_use___Copy__2[[#This Row],[Y (Position in AU)]]^2+horizons_results_fin_use___Copy__2[[#This Row],[Z (Position in AU)]]^2)</f>
        <v>0.98330180604933703</v>
      </c>
    </row>
    <row r="1077" spans="1:5" x14ac:dyDescent="0.3">
      <c r="A1077" s="1">
        <f t="shared" si="16"/>
        <v>1076</v>
      </c>
      <c r="B1077" s="1">
        <v>-0.19546759481370621</v>
      </c>
      <c r="C1077" s="1">
        <v>0.88417408678991249</v>
      </c>
      <c r="D1077" s="1">
        <v>0.38326872457682309</v>
      </c>
      <c r="E1077" s="2">
        <f>SQRT(horizons_results_fin_use___Copy__2[[#This Row],[X (Position in AU)]]^2+horizons_results_fin_use___Copy__2[[#This Row],[Y (Position in AU)]]^2+horizons_results_fin_use___Copy__2[[#This Row],[Z (Position in AU)]]^2)</f>
        <v>0.98329360397176169</v>
      </c>
    </row>
    <row r="1078" spans="1:5" x14ac:dyDescent="0.3">
      <c r="A1078" s="1">
        <f t="shared" si="16"/>
        <v>1077</v>
      </c>
      <c r="B1078" s="1">
        <v>-0.21257116028061299</v>
      </c>
      <c r="C1078" s="1">
        <v>0.88084363920389264</v>
      </c>
      <c r="D1078" s="1">
        <v>0.38182585133979668</v>
      </c>
      <c r="E1078" s="2">
        <f>SQRT(horizons_results_fin_use___Copy__2[[#This Row],[X (Position in AU)]]^2+horizons_results_fin_use___Copy__2[[#This Row],[Y (Position in AU)]]^2+horizons_results_fin_use___Copy__2[[#This Row],[Z (Position in AU)]]^2)</f>
        <v>0.98329191782520209</v>
      </c>
    </row>
    <row r="1079" spans="1:5" x14ac:dyDescent="0.3">
      <c r="A1079" s="1">
        <f t="shared" si="16"/>
        <v>1078</v>
      </c>
      <c r="B1079" s="1">
        <v>-0.22960974853828631</v>
      </c>
      <c r="C1079" s="1">
        <v>0.87724026391042742</v>
      </c>
      <c r="D1079" s="1">
        <v>0.38026458478004882</v>
      </c>
      <c r="E1079" s="2">
        <f>SQRT(horizons_results_fin_use___Copy__2[[#This Row],[X (Position in AU)]]^2+horizons_results_fin_use___Copy__2[[#This Row],[Y (Position in AU)]]^2+horizons_results_fin_use___Copy__2[[#This Row],[Z (Position in AU)]]^2)</f>
        <v>0.98329663463646333</v>
      </c>
    </row>
    <row r="1080" spans="1:5" x14ac:dyDescent="0.3">
      <c r="A1080" s="1">
        <f t="shared" si="16"/>
        <v>1079</v>
      </c>
      <c r="B1080" s="1">
        <v>-0.24657835200200939</v>
      </c>
      <c r="C1080" s="1">
        <v>0.87336480219593504</v>
      </c>
      <c r="D1080" s="1">
        <v>0.37858525281786598</v>
      </c>
      <c r="E1080" s="2">
        <f>SQRT(horizons_results_fin_use___Copy__2[[#This Row],[X (Position in AU)]]^2+horizons_results_fin_use___Copy__2[[#This Row],[Y (Position in AU)]]^2+horizons_results_fin_use___Copy__2[[#This Row],[Z (Position in AU)]]^2)</f>
        <v>0.98330755872307785</v>
      </c>
    </row>
    <row r="1081" spans="1:5" x14ac:dyDescent="0.3">
      <c r="A1081" s="1">
        <f t="shared" si="16"/>
        <v>1080</v>
      </c>
      <c r="B1081" s="1">
        <v>-0.26347189232048229</v>
      </c>
      <c r="C1081" s="1">
        <v>0.86921811817739114</v>
      </c>
      <c r="D1081" s="1">
        <v>0.37678820087922049</v>
      </c>
      <c r="E1081" s="2">
        <f>SQRT(horizons_results_fin_use___Copy__2[[#This Row],[X (Position in AU)]]^2+horizons_results_fin_use___Copy__2[[#This Row],[Y (Position in AU)]]^2+horizons_results_fin_use___Copy__2[[#This Row],[Z (Position in AU)]]^2)</f>
        <v>0.98332442425304412</v>
      </c>
    </row>
    <row r="1082" spans="1:5" x14ac:dyDescent="0.3">
      <c r="A1082" s="1">
        <f t="shared" si="16"/>
        <v>1081</v>
      </c>
      <c r="B1082" s="1">
        <v>-0.28028520647452471</v>
      </c>
      <c r="C1082" s="1">
        <v>0.86480112566629619</v>
      </c>
      <c r="D1082" s="1">
        <v>0.37487380581999408</v>
      </c>
      <c r="E1082" s="2">
        <f>SQRT(horizons_results_fin_use___Copy__2[[#This Row],[X (Position in AU)]]^2+horizons_results_fin_use___Copy__2[[#This Row],[Y (Position in AU)]]^2+horizons_results_fin_use___Copy__2[[#This Row],[Z (Position in AU)]]^2)</f>
        <v>0.9833469144773509</v>
      </c>
    </row>
    <row r="1083" spans="1:5" x14ac:dyDescent="0.3">
      <c r="A1083" s="1">
        <f t="shared" si="16"/>
        <v>1082</v>
      </c>
      <c r="B1083" s="1">
        <v>-0.29701304394627392</v>
      </c>
      <c r="C1083" s="1">
        <v>0.86011481741740947</v>
      </c>
      <c r="D1083" s="1">
        <v>0.37284248984732232</v>
      </c>
      <c r="E1083" s="2">
        <f>SQRT(horizons_results_fin_use___Copy__2[[#This Row],[X (Position in AU)]]^2+horizons_results_fin_use___Copy__2[[#This Row],[Y (Position in AU)]]^2+horizons_results_fin_use___Copy__2[[#This Row],[Z (Position in AU)]]^2)</f>
        <v>0.98337468426371721</v>
      </c>
    </row>
    <row r="1084" spans="1:5" x14ac:dyDescent="0.3">
      <c r="A1084" s="1">
        <f t="shared" si="16"/>
        <v>1083</v>
      </c>
      <c r="B1084" s="1">
        <v>-0.31365007389319799</v>
      </c>
      <c r="C1084" s="1">
        <v>0.85516029311542141</v>
      </c>
      <c r="D1084" s="1">
        <v>0.37069473286720389</v>
      </c>
      <c r="E1084" s="2">
        <f>SQRT(horizons_results_fin_use___Copy__2[[#This Row],[X (Position in AU)]]^2+horizons_results_fin_use___Copy__2[[#This Row],[Y (Position in AU)]]^2+horizons_results_fin_use___Copy__2[[#This Row],[Z (Position in AU)]]^2)</f>
        <v>0.98340738290392637</v>
      </c>
    </row>
    <row r="1085" spans="1:5" x14ac:dyDescent="0.3">
      <c r="A1085" s="1">
        <f t="shared" si="16"/>
        <v>1084</v>
      </c>
      <c r="B1085" s="1">
        <v>-0.33019090027589648</v>
      </c>
      <c r="C1085" s="1">
        <v>0.84993878372159748</v>
      </c>
      <c r="D1085" s="1">
        <v>0.36843108236860111</v>
      </c>
      <c r="E1085" s="2">
        <f>SQRT(horizons_results_fin_use___Copy__2[[#This Row],[X (Position in AU)]]^2+horizons_results_fin_use___Copy__2[[#This Row],[Y (Position in AU)]]^2+horizons_results_fin_use___Copy__2[[#This Row],[Z (Position in AU)]]^2)</f>
        <v>0.98344467518740186</v>
      </c>
    </row>
    <row r="1086" spans="1:5" x14ac:dyDescent="0.3">
      <c r="A1086" s="1">
        <f t="shared" si="16"/>
        <v>1085</v>
      </c>
      <c r="B1086" s="1">
        <v>-0.34663008285632563</v>
      </c>
      <c r="C1086" s="1">
        <v>0.84445167086256723</v>
      </c>
      <c r="D1086" s="1">
        <v>0.36605216044506278</v>
      </c>
      <c r="E1086" s="2">
        <f>SQRT(horizons_results_fin_use___Copy__2[[#This Row],[X (Position in AU)]]^2+horizons_results_fin_use___Copy__2[[#This Row],[Y (Position in AU)]]^2+horizons_results_fin_use___Copy__2[[#This Row],[Z (Position in AU)]]^2)</f>
        <v>0.9834862596549393</v>
      </c>
    </row>
    <row r="1087" spans="1:5" x14ac:dyDescent="0.3">
      <c r="A1087" s="1">
        <f t="shared" si="16"/>
        <v>1086</v>
      </c>
      <c r="B1087" s="1">
        <v>-0.36296216225203259</v>
      </c>
      <c r="C1087" s="1">
        <v>0.8387005004585194</v>
      </c>
      <c r="D1087" s="1">
        <v>0.3635586677653378</v>
      </c>
      <c r="E1087" s="2">
        <f>SQRT(horizons_results_fin_use___Copy__2[[#This Row],[X (Position in AU)]]^2+horizons_results_fin_use___Copy__2[[#This Row],[Y (Position in AU)]]^2+horizons_results_fin_use___Copy__2[[#This Row],[Z (Position in AU)]]^2)</f>
        <v>0.98353188336898822</v>
      </c>
    </row>
    <row r="1088" spans="1:5" x14ac:dyDescent="0.3">
      <c r="A1088" s="1">
        <f t="shared" si="16"/>
        <v>1087</v>
      </c>
      <c r="B1088" s="1">
        <v>-0.37918168727293478</v>
      </c>
      <c r="C1088" s="1">
        <v>0.83268698995302259</v>
      </c>
      <c r="D1088" s="1">
        <v>0.36095138437643037</v>
      </c>
      <c r="E1088" s="2">
        <f>SQRT(horizons_results_fin_use___Copy__2[[#This Row],[X (Position in AU)]]^2+horizons_results_fin_use___Copy__2[[#This Row],[Y (Position in AU)]]^2+horizons_results_fin_use___Copy__2[[#This Row],[Z (Position in AU)]]^2)</f>
        <v>0.98358135254966916</v>
      </c>
    </row>
    <row r="1089" spans="1:5" x14ac:dyDescent="0.3">
      <c r="A1089" s="1">
        <f t="shared" si="16"/>
        <v>1088</v>
      </c>
      <c r="B1089" s="1">
        <v>-0.39528324248714342</v>
      </c>
      <c r="C1089" s="1">
        <v>0.82641302874594769</v>
      </c>
      <c r="D1089" s="1">
        <v>0.35823116736027483</v>
      </c>
      <c r="E1089" s="2">
        <f>SQRT(horizons_results_fin_use___Copy__2[[#This Row],[X (Position in AU)]]^2+horizons_results_fin_use___Copy__2[[#This Row],[Y (Position in AU)]]^2+horizons_results_fin_use___Copy__2[[#This Row],[Z (Position in AU)]]^2)</f>
        <v>0.98363453840362158</v>
      </c>
    </row>
    <row r="1090" spans="1:5" x14ac:dyDescent="0.3">
      <c r="A1090" s="1">
        <f t="shared" si="16"/>
        <v>1089</v>
      </c>
      <c r="B1090" s="1">
        <v>-0.4112614736702106</v>
      </c>
      <c r="C1090" s="1">
        <v>0.81988067203244008</v>
      </c>
      <c r="D1090" s="1">
        <v>0.35539894567033808</v>
      </c>
      <c r="E1090" s="2">
        <f>SQRT(horizons_results_fin_use___Copy__2[[#This Row],[X (Position in AU)]]^2+horizons_results_fin_use___Copy__2[[#This Row],[Y (Position in AU)]]^2+horizons_results_fin_use___Copy__2[[#This Row],[Z (Position in AU)]]^2)</f>
        <v>0.98369137776100624</v>
      </c>
    </row>
    <row r="1091" spans="1:5" x14ac:dyDescent="0.3">
      <c r="A1091" s="1">
        <f t="shared" si="16"/>
        <v>1090</v>
      </c>
      <c r="B1091" s="1">
        <v>-0.42711110891096138</v>
      </c>
      <c r="C1091" s="1">
        <v>0.81309212915473872</v>
      </c>
      <c r="D1091" s="1">
        <v>0.35245571287772143</v>
      </c>
      <c r="E1091" s="2">
        <f>SQRT(horizons_results_fin_use___Copy__2[[#This Row],[X (Position in AU)]]^2+horizons_results_fin_use___Copy__2[[#This Row],[Y (Position in AU)]]^2+horizons_results_fin_use___Copy__2[[#This Row],[Z (Position in AU)]]^2)</f>
        <v>0.98375186881076893</v>
      </c>
    </row>
    <row r="1092" spans="1:5" x14ac:dyDescent="0.3">
      <c r="A1092" s="1">
        <f t="shared" ref="A1092:A1155" si="17">A1091+1</f>
        <v>1091</v>
      </c>
      <c r="B1092" s="1">
        <v>-0.44282697387808923</v>
      </c>
      <c r="C1092" s="1">
        <v>0.80604974842147992</v>
      </c>
      <c r="D1092" s="1">
        <v>0.34940251887318252</v>
      </c>
      <c r="E1092" s="2">
        <f>SQRT(horizons_results_fin_use___Copy__2[[#This Row],[X (Position in AU)]]^2+horizons_results_fin_use___Copy__2[[#This Row],[Y (Position in AU)]]^2+horizons_results_fin_use___Copy__2[[#This Row],[Z (Position in AU)]]^2)</f>
        <v>0.9838160630520737</v>
      </c>
    </row>
    <row r="1093" spans="1:5" x14ac:dyDescent="0.3">
      <c r="A1093" s="1">
        <f t="shared" si="17"/>
        <v>1092</v>
      </c>
      <c r="B1093" s="1">
        <v>-0.45840400092031491</v>
      </c>
      <c r="C1093" s="1">
        <v>0.79875600074389175</v>
      </c>
      <c r="D1093" s="1">
        <v>0.34624046163693217</v>
      </c>
      <c r="E1093" s="2">
        <f>SQRT(horizons_results_fin_use___Copy__2[[#This Row],[X (Position in AU)]]^2+horizons_results_fin_use___Copy__2[[#This Row],[Y (Position in AU)]]^2+horizons_results_fin_use___Copy__2[[#This Row],[Z (Position in AU)]]^2)</f>
        <v>0.98388405519079536</v>
      </c>
    </row>
    <row r="1094" spans="1:5" x14ac:dyDescent="0.3">
      <c r="A1094" s="1">
        <f t="shared" si="17"/>
        <v>1093</v>
      </c>
      <c r="B1094" s="1">
        <v>-0.47383723285492862</v>
      </c>
      <c r="C1094" s="1">
        <v>0.79121346421050098</v>
      </c>
      <c r="D1094" s="1">
        <v>0.34297067996626918</v>
      </c>
      <c r="E1094" s="2">
        <f>SQRT(horizons_results_fin_use___Copy__2[[#This Row],[X (Position in AU)]]^2+horizons_results_fin_use___Copy__2[[#This Row],[Y (Position in AU)]]^2+horizons_results_fin_use___Copy__2[[#This Row],[Z (Position in AU)]]^2)</f>
        <v>0.98395597284844127</v>
      </c>
    </row>
    <row r="1095" spans="1:5" x14ac:dyDescent="0.3">
      <c r="A1095" s="1">
        <f t="shared" si="17"/>
        <v>1094</v>
      </c>
      <c r="B1095" s="1">
        <v>-0.48912182310070829</v>
      </c>
      <c r="C1095" s="1">
        <v>0.78342481100434669</v>
      </c>
      <c r="D1095" s="1">
        <v>0.33959434764212132</v>
      </c>
      <c r="E1095" s="2">
        <f>SQRT(horizons_results_fin_use___Copy__2[[#This Row],[X (Position in AU)]]^2+horizons_results_fin_use___Copy__2[[#This Row],[Y (Position in AU)]]^2+horizons_results_fin_use___Copy__2[[#This Row],[Z (Position in AU)]]^2)</f>
        <v>0.98403196761133471</v>
      </c>
    </row>
    <row r="1096" spans="1:5" x14ac:dyDescent="0.3">
      <c r="A1096" s="1">
        <f t="shared" si="17"/>
        <v>1095</v>
      </c>
      <c r="B1096" s="1">
        <v>-0.50425303406878774</v>
      </c>
      <c r="C1096" s="1">
        <v>0.77539279715994469</v>
      </c>
      <c r="D1096" s="1">
        <v>0.33611266907361032</v>
      </c>
      <c r="E1096" s="2">
        <f>SQRT(horizons_results_fin_use___Copy__2[[#This Row],[X (Position in AU)]]^2+horizons_results_fin_use___Copy__2[[#This Row],[Y (Position in AU)]]^2+horizons_results_fin_use___Copy__2[[#This Row],[Z (Position in AU)]]^2)</f>
        <v>0.9841122083212297</v>
      </c>
    </row>
    <row r="1097" spans="1:5" x14ac:dyDescent="0.3">
      <c r="A1097" s="1">
        <f t="shared" si="17"/>
        <v>1096</v>
      </c>
      <c r="B1097" s="1">
        <v>-0.51922623551299896</v>
      </c>
      <c r="C1097" s="1">
        <v>0.7671202548344761</v>
      </c>
      <c r="D1097" s="1">
        <v>0.33252687610293158</v>
      </c>
      <c r="E1097" s="2">
        <f>SQRT(horizons_results_fin_use___Copy__2[[#This Row],[X (Position in AU)]]^2+horizons_results_fin_use___Copy__2[[#This Row],[Y (Position in AU)]]^2+horizons_results_fin_use___Copy__2[[#This Row],[Z (Position in AU)]]^2)</f>
        <v>0.98419687682550905</v>
      </c>
    </row>
    <row r="1098" spans="1:5" x14ac:dyDescent="0.3">
      <c r="A1098" s="1">
        <f t="shared" si="17"/>
        <v>1097</v>
      </c>
      <c r="B1098" s="1">
        <v>-0.5340369040399624</v>
      </c>
      <c r="C1098" s="1">
        <v>0.75861008616435899</v>
      </c>
      <c r="D1098" s="1">
        <v>0.32883822542546859</v>
      </c>
      <c r="E1098" s="2">
        <f>SQRT(horizons_results_fin_use___Copy__2[[#This Row],[X (Position in AU)]]^2+horizons_results_fin_use___Copy__2[[#This Row],[Y (Position in AU)]]^2+horizons_results_fin_use___Copy__2[[#This Row],[Z (Position in AU)]]^2)</f>
        <v>0.98428616581147554</v>
      </c>
    </row>
    <row r="1099" spans="1:5" x14ac:dyDescent="0.3">
      <c r="A1099" s="1">
        <f t="shared" si="17"/>
        <v>1098</v>
      </c>
      <c r="B1099" s="1">
        <v>-0.54868062433865628</v>
      </c>
      <c r="C1099" s="1">
        <v>0.7498652574033523</v>
      </c>
      <c r="D1099" s="1">
        <v>0.32504799597129491</v>
      </c>
      <c r="E1099" s="2">
        <f>SQRT(horizons_results_fin_use___Copy__2[[#This Row],[X (Position in AU)]]^2+horizons_results_fin_use___Copy__2[[#This Row],[Y (Position in AU)]]^2+horizons_results_fin_use___Copy__2[[#This Row],[Z (Position in AU)]]^2)</f>
        <v>0.98438027787548066</v>
      </c>
    </row>
    <row r="1100" spans="1:5" x14ac:dyDescent="0.3">
      <c r="A1100" s="1">
        <f t="shared" si="17"/>
        <v>1099</v>
      </c>
      <c r="B1100" s="1">
        <v>-0.56315309196427266</v>
      </c>
      <c r="C1100" s="1">
        <v>0.74088879185487777</v>
      </c>
      <c r="D1100" s="1">
        <v>0.32115748558162988</v>
      </c>
      <c r="E1100" s="2">
        <f>SQRT(horizons_results_fin_use___Copy__2[[#This Row],[X (Position in AU)]]^2+horizons_results_fin_use___Copy__2[[#This Row],[Y (Position in AU)]]^2+horizons_results_fin_use___Copy__2[[#This Row],[Z (Position in AU)]]^2)</f>
        <v>0.98447942458449367</v>
      </c>
    </row>
    <row r="1101" spans="1:5" x14ac:dyDescent="0.3">
      <c r="A1101" s="1">
        <f t="shared" si="17"/>
        <v>1100</v>
      </c>
      <c r="B1101" s="1">
        <v>-0.57745011667935098</v>
      </c>
      <c r="C1101" s="1">
        <v>0.73168376012731284</v>
      </c>
      <c r="D1101" s="1">
        <v>0.31716800640315251</v>
      </c>
      <c r="E1101" s="2">
        <f>SQRT(horizons_results_fin_use___Copy__2[[#This Row],[X (Position in AU)]]^2+horizons_results_fin_use___Copy__2[[#This Row],[Y (Position in AU)]]^2+horizons_results_fin_use___Copy__2[[#This Row],[Z (Position in AU)]]^2)</f>
        <v>0.98458382394430466</v>
      </c>
    </row>
    <row r="1102" spans="1:5" x14ac:dyDescent="0.3">
      <c r="A1102" s="1">
        <f t="shared" si="17"/>
        <v>1101</v>
      </c>
      <c r="B1102" s="1">
        <v>-0.59156762440060817</v>
      </c>
      <c r="C1102" s="1">
        <v>0.72225326657184852</v>
      </c>
      <c r="D1102" s="1">
        <v>0.31308087866859519</v>
      </c>
      <c r="E1102" s="2">
        <f>SQRT(horizons_results_fin_use___Copy__2[[#This Row],[X (Position in AU)]]^2+horizons_results_fin_use___Copy__2[[#This Row],[Y (Position in AU)]]^2+horizons_results_fin_use___Copy__2[[#This Row],[Z (Position in AU)]]^2)</f>
        <v>0.98469369445558264</v>
      </c>
    </row>
    <row r="1103" spans="1:5" x14ac:dyDescent="0.3">
      <c r="A1103" s="1">
        <f t="shared" si="17"/>
        <v>1102</v>
      </c>
      <c r="B1103" s="1">
        <v>-0.60550165485217222</v>
      </c>
      <c r="C1103" s="1">
        <v>0.71260043162881348</v>
      </c>
      <c r="D1103" s="1">
        <v>0.30889742302220952</v>
      </c>
      <c r="E1103" s="2">
        <f>SQRT(horizons_results_fin_use___Copy__2[[#This Row],[X (Position in AU)]]^2+horizons_results_fin_use___Copy__2[[#This Row],[Y (Position in AU)]]^2+horizons_results_fin_use___Copy__2[[#This Row],[Z (Position in AU)]]^2)</f>
        <v>0.98480924403462633</v>
      </c>
    </row>
    <row r="1104" spans="1:5" x14ac:dyDescent="0.3">
      <c r="A1104" s="1">
        <f t="shared" si="17"/>
        <v>1103</v>
      </c>
      <c r="B1104" s="1">
        <v>-0.61924835150736168</v>
      </c>
      <c r="C1104" s="1">
        <v>0.70272837141202205</v>
      </c>
      <c r="D1104" s="1">
        <v>0.30461895233449371</v>
      </c>
      <c r="E1104" s="2">
        <f>SQRT(horizons_results_fin_use___Copy__2[[#This Row],[X (Position in AU)]]^2+horizons_results_fin_use___Copy__2[[#This Row],[Y (Position in AU)]]^2+horizons_results_fin_use___Copy__2[[#This Row],[Z (Position in AU)]]^2)</f>
        <v>0.98493065286513559</v>
      </c>
    </row>
    <row r="1105" spans="1:5" x14ac:dyDescent="0.3">
      <c r="A1105" s="1">
        <f t="shared" si="17"/>
        <v>1104</v>
      </c>
      <c r="B1105" s="1">
        <v>-0.63280394104684246</v>
      </c>
      <c r="C1105" s="1">
        <v>0.69264017808466871</v>
      </c>
      <c r="D1105" s="1">
        <v>0.30024676490627072</v>
      </c>
      <c r="E1105" s="2">
        <f>SQRT(horizons_results_fin_use___Copy__2[[#This Row],[X (Position in AU)]]^2+horizons_results_fin_use___Copy__2[[#This Row],[Y (Position in AU)]]^2+horizons_results_fin_use___Copy__2[[#This Row],[Z (Position in AU)]]^2)</f>
        <v>0.98505805104991584</v>
      </c>
    </row>
    <row r="1106" spans="1:5" x14ac:dyDescent="0.3">
      <c r="A1106" s="1">
        <f t="shared" si="17"/>
        <v>1105</v>
      </c>
      <c r="B1106" s="1">
        <v>-0.64616470205152399</v>
      </c>
      <c r="C1106" s="1">
        <v>0.68233890662522845</v>
      </c>
      <c r="D1106" s="1">
        <v>0.29578214165463551</v>
      </c>
      <c r="E1106" s="2">
        <f>SQRT(horizons_results_fin_use___Copy__2[[#This Row],[X (Position in AU)]]^2+horizons_results_fin_use___Copy__2[[#This Row],[Y (Position in AU)]]^2+horizons_results_fin_use___Copy__2[[#This Row],[Z (Position in AU)]]^2)</f>
        <v>0.98519149458044442</v>
      </c>
    </row>
    <row r="1107" spans="1:5" x14ac:dyDescent="0.3">
      <c r="A1107" s="1">
        <f t="shared" si="17"/>
        <v>1106</v>
      </c>
      <c r="B1107" s="1">
        <v>-0.65932692679408167</v>
      </c>
      <c r="C1107" s="1">
        <v>0.67182757397838577</v>
      </c>
      <c r="D1107" s="1">
        <v>0.29122634964776539</v>
      </c>
      <c r="E1107" s="2">
        <f>SQRT(horizons_results_fin_use___Copy__2[[#This Row],[X (Position in AU)]]^2+horizons_results_fin_use___Copy__2[[#This Row],[Y (Position in AU)]]^2+horizons_results_fin_use___Copy__2[[#This Row],[Z (Position in AU)]]^2)</f>
        <v>0.9853309455622381</v>
      </c>
    </row>
    <row r="1108" spans="1:5" x14ac:dyDescent="0.3">
      <c r="A1108" s="1">
        <f t="shared" si="17"/>
        <v>1107</v>
      </c>
      <c r="B1108" s="1">
        <v>-0.67228688405841608</v>
      </c>
      <c r="C1108" s="1">
        <v>0.66110917408850678</v>
      </c>
      <c r="D1108" s="1">
        <v>0.28658065281165279</v>
      </c>
      <c r="E1108" s="2">
        <f>SQRT(horizons_results_fin_use___Copy__2[[#This Row],[X (Position in AU)]]^2+horizons_results_fin_use___Copy__2[[#This Row],[Y (Position in AU)]]^2+horizons_results_fin_use___Copy__2[[#This Row],[Z (Position in AU)]]^2)</f>
        <v>0.98547626308649094</v>
      </c>
    </row>
    <row r="1109" spans="1:5" x14ac:dyDescent="0.3">
      <c r="A1109" s="1">
        <f t="shared" si="17"/>
        <v>1108</v>
      </c>
      <c r="B1109" s="1">
        <v>-0.68504079225158265</v>
      </c>
      <c r="C1109" s="1">
        <v>0.6501867073431874</v>
      </c>
      <c r="D1109" s="1">
        <v>0.28184632822304218</v>
      </c>
      <c r="E1109" s="2">
        <f>SQRT(horizons_results_fin_use___Copy__2[[#This Row],[X (Position in AU)]]^2+horizons_results_fin_use___Copy__2[[#This Row],[Y (Position in AU)]]^2+horizons_results_fin_use___Copy__2[[#This Row],[Z (Position in AU)]]^2)</f>
        <v>0.9856272085262574</v>
      </c>
    </row>
    <row r="1110" spans="1:5" x14ac:dyDescent="0.3">
      <c r="A1110" s="1">
        <f t="shared" si="17"/>
        <v>1109</v>
      </c>
      <c r="B1110" s="1">
        <v>-0.69758480923958632</v>
      </c>
      <c r="C1110" s="1">
        <v>0.63906321801760746</v>
      </c>
      <c r="D1110" s="1">
        <v>0.27702468441886668</v>
      </c>
      <c r="E1110" s="2">
        <f>SQRT(horizons_results_fin_use___Copy__2[[#This Row],[X (Position in AU)]]^2+horizons_results_fin_use___Copy__2[[#This Row],[Y (Position in AU)]]^2+horizons_results_fin_use___Copy__2[[#This Row],[Z (Position in AU)]]^2)</f>
        <v>0.98578346429742003</v>
      </c>
    </row>
    <row r="1111" spans="1:5" x14ac:dyDescent="0.3">
      <c r="A1111" s="1">
        <f t="shared" si="17"/>
        <v>1110</v>
      </c>
      <c r="B1111" s="1">
        <v>-0.7099150397516335</v>
      </c>
      <c r="C1111" s="1">
        <v>0.62774183127058369</v>
      </c>
      <c r="D1111" s="1">
        <v>0.2721170777668393</v>
      </c>
      <c r="E1111" s="2">
        <f>SQRT(horizons_results_fin_use___Copy__2[[#This Row],[X (Position in AU)]]^2+horizons_results_fin_use___Copy__2[[#This Row],[Y (Position in AU)]]^2+horizons_results_fin_use___Copy__2[[#This Row],[Z (Position in AU)]]^2)</f>
        <v>0.98594466092416844</v>
      </c>
    </row>
    <row r="1112" spans="1:5" x14ac:dyDescent="0.3">
      <c r="A1112" s="1">
        <f t="shared" si="17"/>
        <v>1111</v>
      </c>
      <c r="B1112" s="1">
        <v>-0.7220275561305336</v>
      </c>
      <c r="C1112" s="1">
        <v>0.61622578292088781</v>
      </c>
      <c r="D1112" s="1">
        <v>0.26712492420901929</v>
      </c>
      <c r="E1112" s="2">
        <f>SQRT(horizons_results_fin_use___Copy__2[[#This Row],[X (Position in AU)]]^2+horizons_results_fin_use___Copy__2[[#This Row],[Y (Position in AU)]]^2+horizons_results_fin_use___Copy__2[[#This Row],[Z (Position in AU)]]^2)</f>
        <v>0.98611040582784959</v>
      </c>
    </row>
    <row r="1113" spans="1:5" x14ac:dyDescent="0.3">
      <c r="A1113" s="1">
        <f t="shared" si="17"/>
        <v>1112</v>
      </c>
      <c r="B1113" s="1">
        <v>-0.73391842606174051</v>
      </c>
      <c r="C1113" s="1">
        <v>0.60451843896131696</v>
      </c>
      <c r="D1113" s="1">
        <v>0.2620497056104622</v>
      </c>
      <c r="E1113" s="2">
        <f>SQRT(horizons_results_fin_use___Copy__2[[#This Row],[X (Position in AU)]]^2+horizons_results_fin_use___Copy__2[[#This Row],[Y (Position in AU)]]^2+horizons_results_fin_use___Copy__2[[#This Row],[Z (Position in AU)]]^2)</f>
        <v>0.98628030871943295</v>
      </c>
    </row>
    <row r="1114" spans="1:5" x14ac:dyDescent="0.3">
      <c r="A1114" s="1">
        <f t="shared" si="17"/>
        <v>1113</v>
      </c>
      <c r="B1114" s="1">
        <v>-0.74558374171150366</v>
      </c>
      <c r="C1114" s="1">
        <v>0.59262330516385853</v>
      </c>
      <c r="D1114" s="1">
        <v>0.25689297142347461</v>
      </c>
      <c r="E1114" s="2">
        <f>SQRT(horizons_results_fin_use___Copy__2[[#This Row],[X (Position in AU)]]^2+horizons_results_fin_use___Copy__2[[#This Row],[Y (Position in AU)]]^2+horizons_results_fin_use___Copy__2[[#This Row],[Z (Position in AU)]]^2)</f>
        <v>0.98645400120565385</v>
      </c>
    </row>
    <row r="1115" spans="1:5" x14ac:dyDescent="0.3">
      <c r="A1115" s="1">
        <f t="shared" si="17"/>
        <v>1114</v>
      </c>
      <c r="B1115" s="1">
        <v>-0.75701964688757362</v>
      </c>
      <c r="C1115" s="1">
        <v>0.58054402888435552</v>
      </c>
      <c r="D1115" s="1">
        <v>0.25165633696821221</v>
      </c>
      <c r="E1115" s="2">
        <f>SQRT(horizons_results_fin_use___Copy__2[[#This Row],[X (Position in AU)]]^2+horizons_results_fin_use___Copy__2[[#This Row],[Y (Position in AU)]]^2+horizons_results_fin_use___Copy__2[[#This Row],[Z (Position in AU)]]^2)</f>
        <v>0.98663115052349959</v>
      </c>
    </row>
    <row r="1116" spans="1:5" x14ac:dyDescent="0.3">
      <c r="A1116" s="1">
        <f t="shared" si="17"/>
        <v>1115</v>
      </c>
      <c r="B1116" s="1">
        <v>-0.76822236085677742</v>
      </c>
      <c r="C1116" s="1">
        <v>0.56828439537503761</v>
      </c>
      <c r="D1116" s="1">
        <v>0.24634147952356061</v>
      </c>
      <c r="E1116" s="2">
        <f>SQRT(horizons_results_fin_use___Copy__2[[#This Row],[X (Position in AU)]]^2+horizons_results_fin_use___Copy__2[[#This Row],[Y (Position in AU)]]^2+horizons_results_fin_use___Copy__2[[#This Row],[Z (Position in AU)]]^2)</f>
        <v>0.98681146845838263</v>
      </c>
    </row>
    <row r="1117" spans="1:5" x14ac:dyDescent="0.3">
      <c r="A1117" s="1">
        <f t="shared" si="17"/>
        <v>1116</v>
      </c>
      <c r="B1117" s="1">
        <v>-0.77918819860309307</v>
      </c>
      <c r="C1117" s="1">
        <v>0.55584832032123177</v>
      </c>
      <c r="D1117" s="1">
        <v>0.2409501330378114</v>
      </c>
      <c r="E1117" s="2">
        <f>SQRT(horizons_results_fin_use___Copy__2[[#This Row],[X (Position in AU)]]^2+horizons_results_fin_use___Copy__2[[#This Row],[Y (Position in AU)]]^2+horizons_results_fin_use___Copy__2[[#This Row],[Z (Position in AU)]]^2)</f>
        <v>0.98699471663084748</v>
      </c>
    </row>
    <row r="1118" spans="1:5" x14ac:dyDescent="0.3">
      <c r="A1118" s="1">
        <f t="shared" si="17"/>
        <v>1117</v>
      </c>
      <c r="B1118" s="1">
        <v>-0.78991358763671204</v>
      </c>
      <c r="C1118" s="1">
        <v>0.54323983965454459</v>
      </c>
      <c r="D1118" s="1">
        <v>0.2354840819318077</v>
      </c>
      <c r="E1118" s="2">
        <f>SQRT(horizons_results_fin_use___Copy__2[[#This Row],[X (Position in AU)]]^2+horizons_results_fin_use___Copy__2[[#This Row],[Y (Position in AU)]]^2+horizons_results_fin_use___Copy__2[[#This Row],[Z (Position in AU)]]^2)</f>
        <v>0.98718070897088706</v>
      </c>
    </row>
    <row r="1119" spans="1:5" x14ac:dyDescent="0.3">
      <c r="A1119" s="1">
        <f t="shared" si="17"/>
        <v>1118</v>
      </c>
      <c r="B1119" s="1">
        <v>-0.80039508136038695</v>
      </c>
      <c r="C1119" s="1">
        <v>0.53046309733110397</v>
      </c>
      <c r="D1119" s="1">
        <v>0.2299451543101475</v>
      </c>
      <c r="E1119" s="2">
        <f>SQRT(horizons_results_fin_use___Copy__2[[#This Row],[X (Position in AU)]]^2+horizons_results_fin_use___Copy__2[[#This Row],[Y (Position in AU)]]^2+horizons_results_fin_use___Copy__2[[#This Row],[Z (Position in AU)]]^2)</f>
        <v>0.98736931180117515</v>
      </c>
    </row>
    <row r="1120" spans="1:5" x14ac:dyDescent="0.3">
      <c r="A1120" s="1">
        <f t="shared" si="17"/>
        <v>1119</v>
      </c>
      <c r="B1120" s="1">
        <v>-0.81062936886410841</v>
      </c>
      <c r="C1120" s="1">
        <v>0.51752233173847417</v>
      </c>
      <c r="D1120" s="1">
        <v>0.22433521489716221</v>
      </c>
      <c r="E1120" s="2">
        <f>SQRT(horizons_results_fin_use___Copy__2[[#This Row],[X (Position in AU)]]^2+horizons_results_fin_use___Copy__2[[#This Row],[Y (Position in AU)]]^2+horizons_results_fin_use___Copy__2[[#This Row],[Z (Position in AU)]]^2)</f>
        <v>0.98756044177356861</v>
      </c>
    </row>
    <row r="1121" spans="1:5" x14ac:dyDescent="0.3">
      <c r="A1121" s="1">
        <f t="shared" si="17"/>
        <v>1120</v>
      </c>
      <c r="B1121" s="1">
        <v>-0.82061328108660114</v>
      </c>
      <c r="C1121" s="1">
        <v>0.50442186154415136</v>
      </c>
      <c r="D1121" s="1">
        <v>0.21865615807560199</v>
      </c>
      <c r="E1121" s="2">
        <f>SQRT(horizons_results_fin_use___Copy__2[[#This Row],[X (Position in AU)]]^2+horizons_results_fin_use___Copy__2[[#This Row],[Y (Position in AU)]]^2+horizons_results_fin_use___Copy__2[[#This Row],[Z (Position in AU)]]^2)</f>
        <v>0.98775406198292437</v>
      </c>
    </row>
    <row r="1122" spans="1:5" x14ac:dyDescent="0.3">
      <c r="A1122" s="1">
        <f t="shared" si="17"/>
        <v>1121</v>
      </c>
      <c r="B1122" s="1">
        <v>-0.8303437935805662</v>
      </c>
      <c r="C1122" s="1">
        <v>0.49116607190558792</v>
      </c>
      <c r="D1122" s="1">
        <v>0.21290990142540939</v>
      </c>
      <c r="E1122" s="2">
        <f>SQRT(horizons_results_fin_use___Copy__2[[#This Row],[X (Position in AU)]]^2+horizons_results_fin_use___Copy__2[[#This Row],[Y (Position in AU)]]^2+horizons_results_fin_use___Copy__2[[#This Row],[Z (Position in AU)]]^2)</f>
        <v>0.98795017680746866</v>
      </c>
    </row>
    <row r="1123" spans="1:5" x14ac:dyDescent="0.3">
      <c r="A1123" s="1">
        <f t="shared" si="17"/>
        <v>1122</v>
      </c>
      <c r="B1123" s="1">
        <v>-0.83981802652230686</v>
      </c>
      <c r="C1123" s="1">
        <v>0.47775940187642651</v>
      </c>
      <c r="D1123" s="1">
        <v>0.20709838008136661</v>
      </c>
      <c r="E1123" s="2">
        <f>SQRT(horizons_results_fin_use___Copy__2[[#This Row],[X (Position in AU)]]^2+horizons_results_fin_use___Copy__2[[#This Row],[Y (Position in AU)]]^2+horizons_results_fin_use___Copy__2[[#This Row],[Z (Position in AU)]]^2)</f>
        <v>0.98814882623290567</v>
      </c>
    </row>
    <row r="1124" spans="1:5" x14ac:dyDescent="0.3">
      <c r="A1124" s="1">
        <f t="shared" si="17"/>
        <v>1123</v>
      </c>
      <c r="B1124" s="1">
        <v>-0.84903324293905513</v>
      </c>
      <c r="C1124" s="1">
        <v>0.46420633353760848</v>
      </c>
      <c r="D1124" s="1">
        <v>0.20122354205597359</v>
      </c>
      <c r="E1124" s="2">
        <f>SQRT(horizons_results_fin_use___Copy__2[[#This Row],[X (Position in AU)]]^2+horizons_results_fin_use___Copy__2[[#This Row],[Y (Position in AU)]]^2+horizons_results_fin_use___Copy__2[[#This Row],[Z (Position in AU)]]^2)</f>
        <v>0.98835008048241202</v>
      </c>
    </row>
    <row r="1125" spans="1:5" x14ac:dyDescent="0.3">
      <c r="A1125" s="1">
        <f t="shared" si="17"/>
        <v>1124</v>
      </c>
      <c r="B1125" s="1">
        <v>-0.8579868462583089</v>
      </c>
      <c r="C1125" s="1">
        <v>0.45051138292914389</v>
      </c>
      <c r="D1125" s="1">
        <v>0.19528734445424301</v>
      </c>
      <c r="E1125" s="2">
        <f>SQRT(horizons_results_fin_use___Copy__2[[#This Row],[X (Position in AU)]]^2+horizons_results_fin_use___Copy__2[[#This Row],[Y (Position in AU)]]^2+horizons_results_fin_use___Copy__2[[#This Row],[Z (Position in AU)]]^2)</f>
        <v>0.98855403565257827</v>
      </c>
    </row>
    <row r="1126" spans="1:5" x14ac:dyDescent="0.3">
      <c r="A1126" s="1">
        <f t="shared" si="17"/>
        <v>1125</v>
      </c>
      <c r="B1126" s="1">
        <v>-0.86667637816883825</v>
      </c>
      <c r="C1126" s="1">
        <v>0.43667909237132491</v>
      </c>
      <c r="D1126" s="1">
        <v>0.1892917502959495</v>
      </c>
      <c r="E1126" s="2">
        <f>SQRT(horizons_results_fin_use___Copy__2[[#This Row],[X (Position in AU)]]^2+horizons_results_fin_use___Copy__2[[#This Row],[Y (Position in AU)]]^2+horizons_results_fin_use___Copy__2[[#This Row],[Z (Position in AU)]]^2)</f>
        <v>0.98876081077285993</v>
      </c>
    </row>
    <row r="1127" spans="1:5" x14ac:dyDescent="0.3">
      <c r="A1127" s="1">
        <f t="shared" si="17"/>
        <v>1126</v>
      </c>
      <c r="B1127" s="1">
        <v>-0.87509951744385683</v>
      </c>
      <c r="C1127" s="1">
        <v>0.42271402333610048</v>
      </c>
      <c r="D1127" s="1">
        <v>0.18323872549866721</v>
      </c>
      <c r="E1127" s="2">
        <f>SQRT(horizons_results_fin_use___Copy__2[[#This Row],[X (Position in AU)]]^2+horizons_results_fin_use___Copy__2[[#This Row],[Y (Position in AU)]]^2+horizons_results_fin_use___Copy__2[[#This Row],[Z (Position in AU)]]^2)</f>
        <v>0.98897054631462122</v>
      </c>
    </row>
    <row r="1128" spans="1:5" x14ac:dyDescent="0.3">
      <c r="A1128" s="1">
        <f t="shared" si="17"/>
        <v>1127</v>
      </c>
      <c r="B1128" s="1">
        <v>-0.88325407984729609</v>
      </c>
      <c r="C1128" s="1">
        <v>0.40862074871688908</v>
      </c>
      <c r="D1128" s="1">
        <v>0.17713023548404741</v>
      </c>
      <c r="E1128" s="2">
        <f>SQRT(horizons_results_fin_use___Copy__2[[#This Row],[X (Position in AU)]]^2+horizons_results_fin_use___Copy__2[[#This Row],[Y (Position in AU)]]^2+horizons_results_fin_use___Copy__2[[#This Row],[Z (Position in AU)]]^2)</f>
        <v>0.98918340370806812</v>
      </c>
    </row>
    <row r="1129" spans="1:5" x14ac:dyDescent="0.3">
      <c r="A1129" s="1">
        <f t="shared" si="17"/>
        <v>1128</v>
      </c>
      <c r="B1129" s="1">
        <v>-0.89113801853311636</v>
      </c>
      <c r="C1129" s="1">
        <v>0.39440384319841842</v>
      </c>
      <c r="D1129" s="1">
        <v>0.17096824087202589</v>
      </c>
      <c r="E1129" s="2">
        <f>SQRT(horizons_results_fin_use___Copy__2[[#This Row],[X (Position in AU)]]^2+horizons_results_fin_use___Copy__2[[#This Row],[Y (Position in AU)]]^2+horizons_results_fin_use___Copy__2[[#This Row],[Z (Position in AU)]]^2)</f>
        <v>0.98939956488351388</v>
      </c>
    </row>
    <row r="1130" spans="1:5" x14ac:dyDescent="0.3">
      <c r="A1130" s="1">
        <f t="shared" si="17"/>
        <v>1129</v>
      </c>
      <c r="B1130" s="1">
        <v>-0.89874942344995967</v>
      </c>
      <c r="C1130" s="1">
        <v>0.38006787054862079</v>
      </c>
      <c r="D1130" s="1">
        <v>0.16475469186941841</v>
      </c>
      <c r="E1130" s="2">
        <f>SQRT(horizons_results_fin_use___Copy__2[[#This Row],[X (Position in AU)]]^2+horizons_results_fin_use___Copy__2[[#This Row],[Y (Position in AU)]]^2+horizons_results_fin_use___Copy__2[[#This Row],[Z (Position in AU)]]^2)</f>
        <v>0.98961923024362508</v>
      </c>
    </row>
    <row r="1131" spans="1:5" x14ac:dyDescent="0.3">
      <c r="A1131" s="1">
        <f t="shared" si="17"/>
        <v>1130</v>
      </c>
      <c r="B1131" s="1">
        <v>-0.90608651724419242</v>
      </c>
      <c r="C1131" s="1">
        <v>0.36561736724346933</v>
      </c>
      <c r="D1131" s="1">
        <v>0.1584915213258383</v>
      </c>
      <c r="E1131" s="2">
        <f>SQRT(horizons_results_fin_use___Copy__2[[#This Row],[X (Position in AU)]]^2+horizons_results_fin_use___Copy__2[[#This Row],[Y (Position in AU)]]^2+horizons_results_fin_use___Copy__2[[#This Row],[Z (Position in AU)]]^2)</f>
        <v>0.98984261289052144</v>
      </c>
    </row>
    <row r="1132" spans="1:5" x14ac:dyDescent="0.3">
      <c r="A1132" s="1">
        <f t="shared" si="17"/>
        <v>1131</v>
      </c>
      <c r="B1132" s="1">
        <v>-0.91314764430989814</v>
      </c>
      <c r="C1132" s="1">
        <v>0.35105682316610848</v>
      </c>
      <c r="D1132" s="1">
        <v>0.15218063711663971</v>
      </c>
      <c r="E1132" s="2">
        <f>SQRT(horizons_results_fin_use___Copy__2[[#This Row],[X (Position in AU)]]^2+horizons_results_fin_use___Copy__2[[#This Row],[Y (Position in AU)]]^2+horizons_results_fin_use___Copy__2[[#This Row],[Z (Position in AU)]]^2)</f>
        <v>0.99006992667862759</v>
      </c>
    </row>
    <row r="1133" spans="1:5" x14ac:dyDescent="0.3">
      <c r="A1133" s="1">
        <f t="shared" si="17"/>
        <v>1132</v>
      </c>
      <c r="B1133" s="1">
        <v>-0.91993124965443884</v>
      </c>
      <c r="C1133" s="1">
        <v>0.33639066232738879</v>
      </c>
      <c r="D1133" s="1">
        <v>0.14582391551392221</v>
      </c>
      <c r="E1133" s="2">
        <f>SQRT(horizons_results_fin_use___Copy__2[[#This Row],[X (Position in AU)]]^2+horizons_results_fin_use___Copy__2[[#This Row],[Y (Position in AU)]]^2+horizons_results_fin_use___Copy__2[[#This Row],[Z (Position in AU)]]^2)</f>
        <v>0.99030136631615739</v>
      </c>
    </row>
    <row r="1134" spans="1:5" x14ac:dyDescent="0.3">
      <c r="A1134" s="1">
        <f t="shared" si="17"/>
        <v>1133</v>
      </c>
      <c r="B1134" s="1">
        <v>-0.92643584612335728</v>
      </c>
      <c r="C1134" s="1">
        <v>0.32162322917751412</v>
      </c>
      <c r="D1134" s="1">
        <v>0.1394231982184273</v>
      </c>
      <c r="E1134" s="2">
        <f>SQRT(horizons_results_fin_use___Copy__2[[#This Row],[X (Position in AU)]]^2+horizons_results_fin_use___Copy__2[[#This Row],[Y (Position in AU)]]^2+horizons_results_fin_use___Copy__2[[#This Row],[Z (Position in AU)]]^2)</f>
        <v>0.99053707993710538</v>
      </c>
    </row>
    <row r="1135" spans="1:5" x14ac:dyDescent="0.3">
      <c r="A1135" s="1">
        <f t="shared" si="17"/>
        <v>1134</v>
      </c>
      <c r="B1135" s="1">
        <v>-0.93265997282570523</v>
      </c>
      <c r="C1135" s="1">
        <v>0.30675878763975328</v>
      </c>
      <c r="D1135" s="1">
        <v>0.13298029602042299</v>
      </c>
      <c r="E1135" s="2">
        <f>SQRT(horizons_results_fin_use___Copy__2[[#This Row],[X (Position in AU)]]^2+horizons_results_fin_use___Copy__2[[#This Row],[Y (Position in AU)]]^2+horizons_results_fin_use___Copy__2[[#This Row],[Z (Position in AU)]]^2)</f>
        <v>0.99077713832886549</v>
      </c>
    </row>
    <row r="1136" spans="1:5" x14ac:dyDescent="0.3">
      <c r="A1136" s="1">
        <f t="shared" si="17"/>
        <v>1135</v>
      </c>
      <c r="B1136" s="1">
        <v>-0.93860215317870921</v>
      </c>
      <c r="C1136" s="1">
        <v>0.29180153838946682</v>
      </c>
      <c r="D1136" s="1">
        <v>0.12649700078793799</v>
      </c>
      <c r="E1136" s="2">
        <f>SQRT(horizons_results_fin_use___Copy__2[[#This Row],[X (Position in AU)]]^2+horizons_results_fin_use___Copy__2[[#This Row],[Y (Position in AU)]]^2+horizons_results_fin_use___Copy__2[[#This Row],[Z (Position in AU)]]^2)</f>
        <v>0.99102150883142393</v>
      </c>
    </row>
    <row r="1137" spans="1:5" x14ac:dyDescent="0.3">
      <c r="A1137" s="1">
        <f t="shared" si="17"/>
        <v>1136</v>
      </c>
      <c r="B1137" s="1">
        <v>-0.94426086448443802</v>
      </c>
      <c r="C1137" s="1">
        <v>0.27675565422358073</v>
      </c>
      <c r="D1137" s="1">
        <v>0.1199751045607339</v>
      </c>
      <c r="E1137" s="2">
        <f>SQRT(horizons_results_fin_use___Copy__2[[#This Row],[X (Position in AU)]]^2+horizons_results_fin_use___Copy__2[[#This Row],[Y (Position in AU)]]^2+horizons_results_fin_use___Copy__2[[#This Row],[Z (Position in AU)]]^2)</f>
        <v>0.99127004295296828</v>
      </c>
    </row>
    <row r="1138" spans="1:5" x14ac:dyDescent="0.3">
      <c r="A1138" s="1">
        <f t="shared" si="17"/>
        <v>1137</v>
      </c>
      <c r="B1138" s="1">
        <v>-0.94963452885050659</v>
      </c>
      <c r="C1138" s="1">
        <v>0.26162532593880761</v>
      </c>
      <c r="D1138" s="1">
        <v>0.1134164213531326</v>
      </c>
      <c r="E1138" s="2">
        <f>SQRT(horizons_results_fin_use___Copy__2[[#This Row],[X (Position in AU)]]^2+horizons_results_fin_use___Copy__2[[#This Row],[Y (Position in AU)]]^2+horizons_results_fin_use___Copy__2[[#This Row],[Z (Position in AU)]]^2)</f>
        <v>0.99152248294744294</v>
      </c>
    </row>
    <row r="1139" spans="1:5" x14ac:dyDescent="0.3">
      <c r="A1139" s="1">
        <f t="shared" si="17"/>
        <v>1138</v>
      </c>
      <c r="B1139" s="1">
        <v>-0.95472152766245943</v>
      </c>
      <c r="C1139" s="1">
        <v>0.24641480670283511</v>
      </c>
      <c r="D1139" s="1">
        <v>0.1068228059864237</v>
      </c>
      <c r="E1139" s="2">
        <f>SQRT(horizons_results_fin_use___Copy__2[[#This Row],[X (Position in AU)]]^2+horizons_results_fin_use___Copy__2[[#This Row],[Y (Position in AU)]]^2+horizons_results_fin_use___Copy__2[[#This Row],[Z (Position in AU)]]^2)</f>
        <v>0.9917784854610171</v>
      </c>
    </row>
    <row r="1140" spans="1:5" x14ac:dyDescent="0.3">
      <c r="A1140" s="1">
        <f t="shared" si="17"/>
        <v>1139</v>
      </c>
      <c r="B1140" s="1">
        <v>-0.95952023332952574</v>
      </c>
      <c r="C1140" s="1">
        <v>0.2311284445025186</v>
      </c>
      <c r="D1140" s="1">
        <v>0.1001961658192483</v>
      </c>
      <c r="E1140" s="2">
        <f>SQRT(horizons_results_fin_use___Copy__2[[#This Row],[X (Position in AU)]]^2+horizons_results_fin_use___Copy__2[[#This Row],[Y (Position in AU)]]^2+horizons_results_fin_use___Copy__2[[#This Row],[Z (Position in AU)]]^2)</f>
        <v>0.9920376543618592</v>
      </c>
    </row>
    <row r="1141" spans="1:5" x14ac:dyDescent="0.3">
      <c r="A1141" s="1">
        <f t="shared" si="17"/>
        <v>1140</v>
      </c>
      <c r="B1141" s="1">
        <v>-0.96402904780737542</v>
      </c>
      <c r="C1141" s="1">
        <v>0.21577069828614209</v>
      </c>
      <c r="D1141" s="1">
        <v>9.3538464396762985E-2</v>
      </c>
      <c r="E1141" s="2">
        <f>SQRT(horizons_results_fin_use___Copy__2[[#This Row],[X (Position in AU)]]^2+horizons_results_fin_use___Copy__2[[#This Row],[Y (Position in AU)]]^2+horizons_results_fin_use___Copy__2[[#This Row],[Z (Position in AU)]]^2)</f>
        <v>0.99229957350438724</v>
      </c>
    </row>
    <row r="1142" spans="1:5" x14ac:dyDescent="0.3">
      <c r="A1142" s="1">
        <f t="shared" si="17"/>
        <v>1141</v>
      </c>
      <c r="B1142" s="1">
        <v>-0.96824643870843852</v>
      </c>
      <c r="C1142" s="1">
        <v>0.20034613953777131</v>
      </c>
      <c r="D1142" s="1">
        <v>8.6851718698286867E-2</v>
      </c>
      <c r="E1142" s="2">
        <f>SQRT(horizons_results_fin_use___Copy__2[[#This Row],[X (Position in AU)]]^2+horizons_results_fin_use___Copy__2[[#This Row],[Y (Position in AU)]]^2+horizons_results_fin_use___Copy__2[[#This Row],[Z (Position in AU)]]^2)</f>
        <v>0.99256383308082941</v>
      </c>
    </row>
    <row r="1143" spans="1:5" x14ac:dyDescent="0.3">
      <c r="A1143" s="1">
        <f t="shared" si="17"/>
        <v>1142</v>
      </c>
      <c r="B1143" s="1">
        <v>-0.97217096807635406</v>
      </c>
      <c r="C1143" s="1">
        <v>0.184859444187816</v>
      </c>
      <c r="D1143" s="1">
        <v>8.0137992691900001E-2</v>
      </c>
      <c r="E1143" s="2">
        <f>SQRT(horizons_results_fin_use___Copy__2[[#This Row],[X (Position in AU)]]^2+horizons_results_fin_use___Copy__2[[#This Row],[Y (Position in AU)]]^2+horizons_results_fin_use___Copy__2[[#This Row],[Z (Position in AU)]]^2)</f>
        <v>0.99283004746463566</v>
      </c>
    </row>
    <row r="1144" spans="1:5" x14ac:dyDescent="0.3">
      <c r="A1144" s="1">
        <f t="shared" si="17"/>
        <v>1143</v>
      </c>
      <c r="B1144" s="1">
        <v>-0.97580131295524275</v>
      </c>
      <c r="C1144" s="1">
        <v>0.1693153798294742</v>
      </c>
      <c r="D1144" s="1">
        <v>7.3399389542944699E-2</v>
      </c>
      <c r="E1144" s="2">
        <f>SQRT(horizons_results_fin_use___Copy__2[[#This Row],[X (Position in AU)]]^2+horizons_results_fin_use___Copy__2[[#This Row],[Y (Position in AU)]]^2+horizons_results_fin_use___Copy__2[[#This Row],[Z (Position in AU)]]^2)</f>
        <v>0.99309786556877255</v>
      </c>
    </row>
    <row r="1145" spans="1:5" x14ac:dyDescent="0.3">
      <c r="A1145" s="1">
        <f t="shared" si="17"/>
        <v>1144</v>
      </c>
      <c r="B1145" s="1">
        <v>-0.97913627918635548</v>
      </c>
      <c r="C1145" s="1">
        <v>0.15371879165794161</v>
      </c>
      <c r="D1145" s="1">
        <v>6.6638043894646809E-2</v>
      </c>
      <c r="E1145" s="2">
        <f>SQRT(horizons_results_fin_use___Copy__2[[#This Row],[X (Position in AU)]]^2+horizons_results_fin_use___Copy__2[[#This Row],[Y (Position in AU)]]^2+horizons_results_fin_use___Copy__2[[#This Row],[Z (Position in AU)]]^2)</f>
        <v>0.99336697600724733</v>
      </c>
    </row>
    <row r="1146" spans="1:5" x14ac:dyDescent="0.3">
      <c r="A1146" s="1">
        <f t="shared" si="17"/>
        <v>1145</v>
      </c>
      <c r="B1146" s="1">
        <v>-0.98217481048005106</v>
      </c>
      <c r="C1146" s="1">
        <v>0.13807458880447329</v>
      </c>
      <c r="D1146" s="1">
        <v>5.9856114785713739E-2</v>
      </c>
      <c r="E1146" s="2">
        <f>SQRT(horizons_results_fin_use___Copy__2[[#This Row],[X (Position in AU)]]^2+horizons_results_fin_use___Copy__2[[#This Row],[Y (Position in AU)]]^2+horizons_results_fin_use___Copy__2[[#This Row],[Z (Position in AU)]]^2)</f>
        <v>0.9936371092568399</v>
      </c>
    </row>
    <row r="1147" spans="1:5" x14ac:dyDescent="0.3">
      <c r="A1147" s="1">
        <f t="shared" si="17"/>
        <v>1146</v>
      </c>
      <c r="B1147" s="1">
        <v>-0.98491599445016131</v>
      </c>
      <c r="C1147" s="1">
        <v>0.12238773150798921</v>
      </c>
      <c r="D1147" s="1">
        <v>5.3055779245034018E-2</v>
      </c>
      <c r="E1147" s="2">
        <f>SQRT(horizons_results_fin_use___Copy__2[[#This Row],[X (Position in AU)]]^2+horizons_results_fin_use___Copy__2[[#This Row],[Y (Position in AU)]]^2+horizons_results_fin_use___Copy__2[[#This Row],[Z (Position in AU)]]^2)</f>
        <v>0.99390803833087071</v>
      </c>
    </row>
    <row r="1148" spans="1:5" x14ac:dyDescent="0.3">
      <c r="A1148" s="1">
        <f t="shared" si="17"/>
        <v>1147</v>
      </c>
      <c r="B1148" s="1">
        <v>-0.98735906662205875</v>
      </c>
      <c r="C1148" s="1">
        <v>0.1066632189735381</v>
      </c>
      <c r="D1148" s="1">
        <v>4.6239226398468503E-2</v>
      </c>
      <c r="E1148" s="2">
        <f>SQRT(horizons_results_fin_use___Copy__2[[#This Row],[X (Position in AU)]]^2+horizons_results_fin_use___Copy__2[[#This Row],[Y (Position in AU)]]^2+horizons_results_fin_use___Copy__2[[#This Row],[Z (Position in AU)]]^2)</f>
        <v>0.99417957873842333</v>
      </c>
    </row>
    <row r="1149" spans="1:5" x14ac:dyDescent="0.3">
      <c r="A1149" s="1">
        <f t="shared" si="17"/>
        <v>1148</v>
      </c>
      <c r="B1149" s="1">
        <v>-0.98950341283576138</v>
      </c>
      <c r="C1149" s="1">
        <v>9.0906077656092432E-2</v>
      </c>
      <c r="D1149" s="1">
        <v>3.9408651928726307E-2</v>
      </c>
      <c r="E1149" s="2">
        <f>SQRT(horizons_results_fin_use___Copy__2[[#This Row],[X (Position in AU)]]^2+horizons_results_fin_use___Copy__2[[#This Row],[Y (Position in AU)]]^2+horizons_results_fin_use___Copy__2[[#This Row],[Z (Position in AU)]]^2)</f>
        <v>0.99445158796960764</v>
      </c>
    </row>
    <row r="1150" spans="1:5" x14ac:dyDescent="0.3">
      <c r="A1150" s="1">
        <f t="shared" si="17"/>
        <v>1149</v>
      </c>
      <c r="B1150" s="1">
        <v>-0.99134857013058642</v>
      </c>
      <c r="C1150" s="1">
        <v>7.5121349858096889E-2</v>
      </c>
      <c r="D1150" s="1">
        <v>3.2566252829218843E-2</v>
      </c>
      <c r="E1150" s="2">
        <f>SQRT(horizons_results_fin_use___Copy__2[[#This Row],[X (Position in AU)]]^2+horizons_results_fin_use___Copy__2[[#This Row],[Y (Position in AU)]]^2+horizons_results_fin_use___Copy__2[[#This Row],[Z (Position in AU)]]^2)</f>
        <v>0.99472396448853961</v>
      </c>
    </row>
    <row r="1151" spans="1:5" x14ac:dyDescent="0.3">
      <c r="A1151" s="1">
        <f t="shared" si="17"/>
        <v>1150</v>
      </c>
      <c r="B1151" s="1">
        <v>-0.99289422613514833</v>
      </c>
      <c r="C1151" s="1">
        <v>5.9314082738263649E-2</v>
      </c>
      <c r="D1151" s="1">
        <v>2.5714222493439111E-2</v>
      </c>
      <c r="E1151" s="2">
        <f>SQRT(horizons_results_fin_use___Copy__2[[#This Row],[X (Position in AU)]]^2+horizons_results_fin_use___Copy__2[[#This Row],[Y (Position in AU)]]^2+horizons_results_fin_use___Copy__2[[#This Row],[Z (Position in AU)]]^2)</f>
        <v>0.99499664619637729</v>
      </c>
    </row>
    <row r="1152" spans="1:5" x14ac:dyDescent="0.3">
      <c r="A1152" s="1">
        <f t="shared" si="17"/>
        <v>1151</v>
      </c>
      <c r="B1152" s="1">
        <v>-0.994140217116531</v>
      </c>
      <c r="C1152" s="1">
        <v>4.3489317951488089E-2</v>
      </c>
      <c r="D1152" s="1">
        <v>1.8854746224291209E-2</v>
      </c>
      <c r="E1152" s="2">
        <f>SQRT(horizons_results_fin_use___Copy__2[[#This Row],[X (Position in AU)]]^2+horizons_results_fin_use___Copy__2[[#This Row],[Y (Position in AU)]]^2+horizons_results_fin_use___Copy__2[[#This Row],[Z (Position in AU)]]^2)</f>
        <v>0.99526960845771406</v>
      </c>
    </row>
    <row r="1153" spans="1:5" x14ac:dyDescent="0.3">
      <c r="A1153" s="1">
        <f t="shared" si="17"/>
        <v>1152</v>
      </c>
      <c r="B1153" s="1">
        <v>-0.99508652503860939</v>
      </c>
      <c r="C1153" s="1">
        <v>2.7652082101865628E-2</v>
      </c>
      <c r="D1153" s="1">
        <v>1.198999721179961E-2</v>
      </c>
      <c r="E1153" s="2">
        <f>SQRT(horizons_results_fin_use___Copy__2[[#This Row],[X (Position in AU)]]^2+horizons_results_fin_use___Copy__2[[#This Row],[Y (Position in AU)]]^2+horizons_results_fin_use___Copy__2[[#This Row],[Z (Position in AU)]]^2)</f>
        <v>0.99554286195578856</v>
      </c>
    </row>
    <row r="1154" spans="1:5" x14ac:dyDescent="0.3">
      <c r="A1154" s="1">
        <f t="shared" si="17"/>
        <v>1153</v>
      </c>
      <c r="B1154" s="1">
        <v>-0.9957332741114997</v>
      </c>
      <c r="C1154" s="1">
        <v>1.180737799307182E-2</v>
      </c>
      <c r="D1154" s="1">
        <v>5.1221329255727657E-3</v>
      </c>
      <c r="E1154" s="2">
        <f>SQRT(horizons_results_fin_use___Copy__2[[#This Row],[X (Position in AU)]]^2+horizons_results_fin_use___Copy__2[[#This Row],[Y (Position in AU)]]^2+horizons_results_fin_use___Copy__2[[#This Row],[Z (Position in AU)]]^2)</f>
        <v>0.99581645075464864</v>
      </c>
    </row>
    <row r="1155" spans="1:5" x14ac:dyDescent="0.3">
      <c r="A1155" s="1">
        <f t="shared" si="17"/>
        <v>1154</v>
      </c>
      <c r="B1155" s="1">
        <v>-0.99608072728356856</v>
      </c>
      <c r="C1155" s="1">
        <v>-4.0398236394279747E-3</v>
      </c>
      <c r="D1155" s="1">
        <v>-1.7467082640790119E-3</v>
      </c>
      <c r="E1155" s="2">
        <f>SQRT(horizons_results_fin_use___Copy__2[[#This Row],[X (Position in AU)]]^2+horizons_results_fin_use___Copy__2[[#This Row],[Y (Position in AU)]]^2+horizons_results_fin_use___Copy__2[[#This Row],[Z (Position in AU)]]^2)</f>
        <v>0.99609045092830817</v>
      </c>
    </row>
    <row r="1156" spans="1:5" x14ac:dyDescent="0.3">
      <c r="A1156" s="1">
        <f t="shared" ref="A1156:A1219" si="18">A1155+1</f>
        <v>1155</v>
      </c>
      <c r="B1156" s="1">
        <v>-0.99612928288084446</v>
      </c>
      <c r="C1156" s="1">
        <v>-1.988459254332646E-2</v>
      </c>
      <c r="D1156" s="1">
        <v>-8.6144105402409122E-3</v>
      </c>
      <c r="E1156" s="2">
        <f>SQRT(horizons_results_fin_use___Copy__2[[#This Row],[X (Position in AU)]]^2+horizons_results_fin_use___Copy__2[[#This Row],[Y (Position in AU)]]^2+horizons_results_fin_use___Copy__2[[#This Row],[Z (Position in AU)]]^2)</f>
        <v>0.99636496992933032</v>
      </c>
    </row>
    <row r="1157" spans="1:5" x14ac:dyDescent="0.3">
      <c r="A1157" s="1">
        <f t="shared" si="18"/>
        <v>1156</v>
      </c>
      <c r="B1157" s="1">
        <v>-0.99587947111971586</v>
      </c>
      <c r="C1157" s="1">
        <v>-3.5722048365687722E-2</v>
      </c>
      <c r="D1157" s="1">
        <v>-1.547888452807487E-2</v>
      </c>
      <c r="E1157" s="2">
        <f>SQRT(horizons_results_fin_use___Copy__2[[#This Row],[X (Position in AU)]]^2+horizons_results_fin_use___Copy__2[[#This Row],[Y (Position in AU)]]^2+horizons_results_fin_use___Copy__2[[#This Row],[Z (Position in AU)]]^2)</f>
        <v>0.99664014649388821</v>
      </c>
    </row>
    <row r="1158" spans="1:5" x14ac:dyDescent="0.3">
      <c r="A1158" s="1">
        <f t="shared" si="18"/>
        <v>1157</v>
      </c>
      <c r="B1158" s="1">
        <v>-0.99533194951999926</v>
      </c>
      <c r="C1158" s="1">
        <v>-5.1547371938441312E-2</v>
      </c>
      <c r="D1158" s="1">
        <v>-2.2338071916624659E-2</v>
      </c>
      <c r="E1158" s="2">
        <f>SQRT(horizons_results_fin_use___Copy__2[[#This Row],[X (Position in AU)]]^2+horizons_results_fin_use___Copy__2[[#This Row],[Y (Position in AU)]]^2+horizons_results_fin_use___Copy__2[[#This Row],[Z (Position in AU)]]^2)</f>
        <v>0.99691615030853753</v>
      </c>
    </row>
    <row r="1159" spans="1:5" x14ac:dyDescent="0.3">
      <c r="A1159" s="1">
        <f t="shared" si="18"/>
        <v>1158</v>
      </c>
      <c r="B1159" s="1">
        <v>-0.99448749539500092</v>
      </c>
      <c r="C1159" s="1">
        <v>-6.7355818933796455E-2</v>
      </c>
      <c r="D1159" s="1">
        <v>-2.918995086527703E-2</v>
      </c>
      <c r="E1159" s="2">
        <f>SQRT(horizons_results_fin_use___Copy__2[[#This Row],[X (Position in AU)]]^2+horizons_results_fin_use___Copy__2[[#This Row],[Y (Position in AU)]]^2+horizons_results_fin_use___Copy__2[[#This Row],[Z (Position in AU)]]^2)</f>
        <v>0.99719317991690137</v>
      </c>
    </row>
    <row r="1160" spans="1:5" x14ac:dyDescent="0.3">
      <c r="A1160" s="1">
        <f t="shared" si="18"/>
        <v>1159</v>
      </c>
      <c r="B1160" s="1">
        <v>-0.99334699280805083</v>
      </c>
      <c r="C1160" s="1">
        <v>-8.31427354194329E-2</v>
      </c>
      <c r="D1160" s="1">
        <v>-3.6032541734097978E-2</v>
      </c>
      <c r="E1160" s="2">
        <f>SQRT(horizons_results_fin_use___Copy__2[[#This Row],[X (Position in AU)]]^2+horizons_results_fin_use___Copy__2[[#This Row],[Y (Position in AU)]]^2+horizons_results_fin_use___Copy__2[[#This Row],[Z (Position in AU)]]^2)</f>
        <v>0.99747145655283953</v>
      </c>
    </row>
    <row r="1161" spans="1:5" x14ac:dyDescent="0.3">
      <c r="A1161" s="1">
        <f t="shared" si="18"/>
        <v>1160</v>
      </c>
      <c r="B1161" s="1">
        <v>-0.99191141116415993</v>
      </c>
      <c r="C1161" s="1">
        <v>-9.8903573097673253E-2</v>
      </c>
      <c r="D1161" s="1">
        <v>-4.2863911870938923E-2</v>
      </c>
      <c r="E1161" s="2">
        <f>SQRT(horizons_results_fin_use___Copy__2[[#This Row],[X (Position in AU)]]^2+horizons_results_fin_use___Copy__2[[#This Row],[Y (Position in AU)]]^2+horizons_results_fin_use___Copy__2[[#This Row],[Z (Position in AU)]]^2)</f>
        <v>0.9977512111293283</v>
      </c>
    </row>
    <row r="1162" spans="1:5" x14ac:dyDescent="0.3">
      <c r="A1162" s="1">
        <f t="shared" si="18"/>
        <v>1161</v>
      </c>
      <c r="B1162" s="1">
        <v>-0.99018177378973915</v>
      </c>
      <c r="C1162" s="1">
        <v>-0.1146338996827759</v>
      </c>
      <c r="D1162" s="1">
        <v>-4.9682177254119858E-2</v>
      </c>
      <c r="E1162" s="2">
        <f>SQRT(horizons_results_fin_use___Copy__2[[#This Row],[X (Position in AU)]]^2+horizons_results_fin_use___Copy__2[[#This Row],[Y (Position in AU)]]^2+horizons_results_fin_use___Copy__2[[#This Row],[Z (Position in AU)]]^2)</f>
        <v>0.99803266221030296</v>
      </c>
    </row>
    <row r="1163" spans="1:5" x14ac:dyDescent="0.3">
      <c r="A1163" s="1">
        <f t="shared" si="18"/>
        <v>1162</v>
      </c>
      <c r="B1163" s="1">
        <v>-0.98815911824037916</v>
      </c>
      <c r="C1163" s="1">
        <v>-0.13032939797453361</v>
      </c>
      <c r="D1163" s="1">
        <v>-5.6485498262305867E-2</v>
      </c>
      <c r="E1163" s="2">
        <f>SQRT(horizons_results_fin_use___Copy__2[[#This Row],[X (Position in AU)]]^2+horizons_results_fin_use___Copy__2[[#This Row],[Y (Position in AU)]]^2+horizons_results_fin_use___Copy__2[[#This Row],[Z (Position in AU)]]^2)</f>
        <v>0.99831598527317444</v>
      </c>
    </row>
    <row r="1164" spans="1:5" x14ac:dyDescent="0.3">
      <c r="A1164" s="1">
        <f t="shared" si="18"/>
        <v>1163</v>
      </c>
      <c r="B1164" s="1">
        <v>-0.98584445535397325</v>
      </c>
      <c r="C1164" s="1">
        <v>-0.1459858476742924</v>
      </c>
      <c r="D1164" s="1">
        <v>-6.3272067569685536E-2</v>
      </c>
      <c r="E1164" s="2">
        <f>SQRT(horizons_results_fin_use___Copy__2[[#This Row],[X (Position in AU)]]^2+horizons_results_fin_use___Copy__2[[#This Row],[Y (Position in AU)]]^2+horizons_results_fin_use___Copy__2[[#This Row],[Z (Position in AU)]]^2)</f>
        <v>0.9986012779923209</v>
      </c>
    </row>
    <row r="1165" spans="1:5" x14ac:dyDescent="0.3">
      <c r="A1165" s="1">
        <f t="shared" si="18"/>
        <v>1164</v>
      </c>
      <c r="B1165" s="1">
        <v>-0.98323873866290545</v>
      </c>
      <c r="C1165" s="1">
        <v>-0.16159908857435909</v>
      </c>
      <c r="D1165" s="1">
        <v>-7.0040090668098118E-2</v>
      </c>
      <c r="E1165" s="2">
        <f>SQRT(horizons_results_fin_use___Copy__2[[#This Row],[X (Position in AU)]]^2+horizons_results_fin_use___Copy__2[[#This Row],[Y (Position in AU)]]^2+horizons_results_fin_use___Copy__2[[#This Row],[Z (Position in AU)]]^2)</f>
        <v>0.99888853078623352</v>
      </c>
    </row>
    <row r="1166" spans="1:5" x14ac:dyDescent="0.3">
      <c r="A1166" s="1">
        <f t="shared" si="18"/>
        <v>1165</v>
      </c>
      <c r="B1166" s="1">
        <v>-0.98034285558496526</v>
      </c>
      <c r="C1166" s="1">
        <v>-0.17716497152317379</v>
      </c>
      <c r="D1166" s="1">
        <v>-7.6787762994097494E-2</v>
      </c>
      <c r="E1166" s="2">
        <f>SQRT(horizons_results_fin_use___Copy__2[[#This Row],[X (Position in AU)]]^2+horizons_results_fin_use___Copy__2[[#This Row],[Y (Position in AU)]]^2+horizons_results_fin_use___Copy__2[[#This Row],[Z (Position in AU)]]^2)</f>
        <v>0.99917761292821639</v>
      </c>
    </row>
    <row r="1167" spans="1:5" x14ac:dyDescent="0.3">
      <c r="A1167" s="1">
        <f t="shared" si="18"/>
        <v>1166</v>
      </c>
      <c r="B1167" s="1">
        <v>-0.97715764485898426</v>
      </c>
      <c r="C1167" s="1">
        <v>-0.19267930998691421</v>
      </c>
      <c r="D1167" s="1">
        <v>-8.3513249857088356E-2</v>
      </c>
      <c r="E1167" s="2">
        <f>SQRT(horizons_results_fin_use___Copy__2[[#This Row],[X (Position in AU)]]^2+horizons_results_fin_use___Copy__2[[#This Row],[Y (Position in AU)]]^2+horizons_results_fin_use___Copy__2[[#This Row],[Z (Position in AU)]]^2)</f>
        <v>0.99946827978935016</v>
      </c>
    </row>
    <row r="1168" spans="1:5" x14ac:dyDescent="0.3">
      <c r="A1168" s="1">
        <f t="shared" si="18"/>
        <v>1167</v>
      </c>
      <c r="B1168" s="1">
        <v>-0.97368393446181201</v>
      </c>
      <c r="C1168" s="1">
        <v>-0.20813784516244921</v>
      </c>
      <c r="D1168" s="1">
        <v>-9.021467444154721E-2</v>
      </c>
      <c r="E1168" s="2">
        <f>SQRT(horizons_results_fin_use___Copy__2[[#This Row],[X (Position in AU)]]^2+horizons_results_fin_use___Copy__2[[#This Row],[Y (Position in AU)]]^2+horizons_results_fin_use___Copy__2[[#This Row],[Z (Position in AU)]]^2)</f>
        <v>0.99976019839884411</v>
      </c>
    </row>
    <row r="1169" spans="1:5" x14ac:dyDescent="0.3">
      <c r="A1169" s="1">
        <f t="shared" si="18"/>
        <v>1168</v>
      </c>
      <c r="B1169" s="1">
        <v>-0.96992258745393423</v>
      </c>
      <c r="C1169" s="1">
        <v>-0.22353623115380941</v>
      </c>
      <c r="D1169" s="1">
        <v>-9.689011560541462E-2</v>
      </c>
      <c r="E1169" s="2">
        <f>SQRT(horizons_results_fin_use___Copy__2[[#This Row],[X (Position in AU)]]^2+horizons_results_fin_use___Copy__2[[#This Row],[Y (Position in AU)]]^2+horizons_results_fin_use___Copy__2[[#This Row],[Z (Position in AU)]]^2)</f>
        <v>1.0000529819933615</v>
      </c>
    </row>
    <row r="1170" spans="1:5" x14ac:dyDescent="0.3">
      <c r="A1170" s="1">
        <f t="shared" si="18"/>
        <v>1169</v>
      </c>
      <c r="B1170" s="1">
        <v>-0.96587454353457103</v>
      </c>
      <c r="C1170" s="1">
        <v>-0.23887003849783989</v>
      </c>
      <c r="D1170" s="1">
        <v>-0.1035376135278797</v>
      </c>
      <c r="E1170" s="2">
        <f>SQRT(horizons_results_fin_use___Copy__2[[#This Row],[X (Position in AU)]]^2+horizons_results_fin_use___Copy__2[[#This Row],[Y (Position in AU)]]^2+horizons_results_fin_use___Copy__2[[#This Row],[Z (Position in AU)]]^2)</f>
        <v>1.0003462233422606</v>
      </c>
    </row>
    <row r="1171" spans="1:5" x14ac:dyDescent="0.3">
      <c r="A1171" s="1">
        <f t="shared" si="18"/>
        <v>1170</v>
      </c>
      <c r="B1171" s="1">
        <v>-0.96154084946939322</v>
      </c>
      <c r="C1171" s="1">
        <v>-0.25413476932634238</v>
      </c>
      <c r="D1171" s="1">
        <v>-0.1101551795282288</v>
      </c>
      <c r="E1171" s="2">
        <f>SQRT(horizons_results_fin_use___Copy__2[[#This Row],[X (Position in AU)]]^2+horizons_results_fin_use___Copy__2[[#This Row],[Y (Position in AU)]]^2+horizons_results_fin_use___Copy__2[[#This Row],[Z (Position in AU)]]^2)</f>
        <v>1.0006395203847247</v>
      </c>
    </row>
    <row r="1172" spans="1:5" x14ac:dyDescent="0.3">
      <c r="A1172" s="1">
        <f t="shared" si="18"/>
        <v>1171</v>
      </c>
      <c r="B1172" s="1">
        <v>-0.95692267744689707</v>
      </c>
      <c r="C1172" s="1">
        <v>-0.26932587697271859</v>
      </c>
      <c r="D1172" s="1">
        <v>-0.1167408067279266</v>
      </c>
      <c r="E1172" s="2">
        <f>SQRT(horizons_results_fin_use___Copy__2[[#This Row],[X (Position in AU)]]^2+horizons_results_fin_use___Copy__2[[#This Row],[Y (Position in AU)]]^2+horizons_results_fin_use___Copy__2[[#This Row],[Z (Position in AU)]]^2)</f>
        <v>1.0009324925162284</v>
      </c>
    </row>
    <row r="1173" spans="1:5" x14ac:dyDescent="0.3">
      <c r="A1173" s="1">
        <f t="shared" si="18"/>
        <v>1172</v>
      </c>
      <c r="B1173" s="1">
        <v>-0.95202133396786681</v>
      </c>
      <c r="C1173" s="1">
        <v>-0.28443878506561371</v>
      </c>
      <c r="D1173" s="1">
        <v>-0.1232924795742503</v>
      </c>
      <c r="E1173" s="2">
        <f>SQRT(horizons_results_fin_use___Copy__2[[#This Row],[X (Position in AU)]]^2+horizons_results_fin_use___Copy__2[[#This Row],[Y (Position in AU)]]^2+horizons_results_fin_use___Copy__2[[#This Row],[Z (Position in AU)]]^2)</f>
        <v>1.0012247890953989</v>
      </c>
    </row>
    <row r="1174" spans="1:5" x14ac:dyDescent="0.3">
      <c r="A1174" s="1">
        <f t="shared" si="18"/>
        <v>1173</v>
      </c>
      <c r="B1174" s="1">
        <v>-0.94683826283561856</v>
      </c>
      <c r="C1174" s="1">
        <v>-0.29946890384902441</v>
      </c>
      <c r="D1174" s="1">
        <v>-0.12980818154967741</v>
      </c>
      <c r="E1174" s="2">
        <f>SQRT(horizons_results_fin_use___Copy__2[[#This Row],[X (Position in AU)]]^2+horizons_results_fin_use___Copy__2[[#This Row],[Y (Position in AU)]]^2+horizons_results_fin_use___Copy__2[[#This Row],[Z (Position in AU)]]^2)</f>
        <v>1.0015160929008291</v>
      </c>
    </row>
    <row r="1175" spans="1:5" x14ac:dyDescent="0.3">
      <c r="A1175" s="1">
        <f t="shared" si="18"/>
        <v>1174</v>
      </c>
      <c r="B1175" s="1">
        <v>-0.94137504523389604</v>
      </c>
      <c r="C1175" s="1">
        <v>-0.31441164342100791</v>
      </c>
      <c r="D1175" s="1">
        <v>-0.13628590121391679</v>
      </c>
      <c r="E1175" s="2">
        <f>SQRT(horizons_results_fin_use___Copy__2[[#This Row],[X (Position in AU)]]^2+horizons_results_fin_use___Copy__2[[#This Row],[Y (Position in AU)]]^2+horizons_results_fin_use___Copy__2[[#This Row],[Z (Position in AU)]]^2)</f>
        <v>1.0018061210521267</v>
      </c>
    </row>
    <row r="1176" spans="1:5" x14ac:dyDescent="0.3">
      <c r="A1176" s="1">
        <f t="shared" si="18"/>
        <v>1175</v>
      </c>
      <c r="B1176" s="1">
        <v>-0.93563339878788532</v>
      </c>
      <c r="C1176" s="1">
        <v>-0.32926242458507893</v>
      </c>
      <c r="D1176" s="1">
        <v>-0.14272363707138441</v>
      </c>
      <c r="E1176" s="2">
        <f>SQRT(horizons_results_fin_use___Copy__2[[#This Row],[X (Position in AU)]]^2+horizons_results_fin_use___Copy__2[[#This Row],[Y (Position in AU)]]^2+horizons_results_fin_use___Copy__2[[#This Row],[Z (Position in AU)]]^2)</f>
        <v>1.0020946251476948</v>
      </c>
    </row>
    <row r="1177" spans="1:5" x14ac:dyDescent="0.3">
      <c r="A1177" s="1">
        <f t="shared" si="18"/>
        <v>1176</v>
      </c>
      <c r="B1177" s="1">
        <v>-0.9296151764852395</v>
      </c>
      <c r="C1177" s="1">
        <v>-0.34401668830017379</v>
      </c>
      <c r="D1177" s="1">
        <v>-0.14911940179037911</v>
      </c>
      <c r="E1177" s="2">
        <f>SQRT(horizons_results_fin_use___Copy__2[[#This Row],[X (Position in AU)]]^2+horizons_results_fin_use___Copy__2[[#This Row],[Y (Position in AU)]]^2+horizons_results_fin_use___Copy__2[[#This Row],[Z (Position in AU)]]^2)</f>
        <v>1.0023813915726003</v>
      </c>
    </row>
    <row r="1178" spans="1:5" x14ac:dyDescent="0.3">
      <c r="A1178" s="1">
        <f t="shared" si="18"/>
        <v>1177</v>
      </c>
      <c r="B1178" s="1">
        <v>-0.92332236560247771</v>
      </c>
      <c r="C1178" s="1">
        <v>-0.35866990459569392</v>
      </c>
      <c r="D1178" s="1">
        <v>-0.15547122617639181</v>
      </c>
      <c r="E1178" s="2">
        <f>SQRT(horizons_results_fin_use___Copy__2[[#This Row],[X (Position in AU)]]^2+horizons_results_fin_use___Copy__2[[#This Row],[Y (Position in AU)]]^2+horizons_results_fin_use___Copy__2[[#This Row],[Z (Position in AU)]]^2)</f>
        <v>1.0026662423026071</v>
      </c>
    </row>
    <row r="1179" spans="1:5" x14ac:dyDescent="0.3">
      <c r="A1179" s="1">
        <f t="shared" si="18"/>
        <v>1178</v>
      </c>
      <c r="B1179" s="1">
        <v>-0.91675708636700293</v>
      </c>
      <c r="C1179" s="1">
        <v>-0.3732175815127774</v>
      </c>
      <c r="D1179" s="1">
        <v>-0.16177716312504931</v>
      </c>
      <c r="E1179" s="2">
        <f>SQRT(horizons_results_fin_use___Copy__2[[#This Row],[X (Position in AU)]]^2+horizons_results_fin_use___Copy__2[[#This Row],[Y (Position in AU)]]^2+horizons_results_fin_use___Copy__2[[#This Row],[Z (Position in AU)]]^2)</f>
        <v>1.0029490361245441</v>
      </c>
    </row>
    <row r="1180" spans="1:5" x14ac:dyDescent="0.3">
      <c r="A1180" s="1">
        <f t="shared" si="18"/>
        <v>1179</v>
      </c>
      <c r="B1180" s="1">
        <v>-0.90992158994648931</v>
      </c>
      <c r="C1180" s="1">
        <v>-0.38765527429319169</v>
      </c>
      <c r="D1180" s="1">
        <v>-0.1680352916145085</v>
      </c>
      <c r="E1180" s="2">
        <f>SQRT(horizons_results_fin_use___Copy__2[[#This Row],[X (Position in AU)]]^2+horizons_results_fin_use___Copy__2[[#This Row],[Y (Position in AU)]]^2+horizons_results_fin_use___Copy__2[[#This Row],[Z (Position in AU)]]^2)</f>
        <v>1.0032296699988741</v>
      </c>
    </row>
    <row r="1181" spans="1:5" x14ac:dyDescent="0.3">
      <c r="A1181" s="1">
        <f t="shared" si="18"/>
        <v>1180</v>
      </c>
      <c r="B1181" s="1">
        <v>-0.90281825542532823</v>
      </c>
      <c r="C1181" s="1">
        <v>-0.40197859476815989</v>
      </c>
      <c r="D1181" s="1">
        <v>-0.1742437206830966</v>
      </c>
      <c r="E1181" s="2">
        <f>SQRT(horizons_results_fin_use___Copy__2[[#This Row],[X (Position in AU)]]^2+horizons_results_fin_use___Copy__2[[#This Row],[Y (Position in AU)]]^2+horizons_results_fin_use___Copy__2[[#This Row],[Z (Position in AU)]]^2)</f>
        <v>1.0035080802756431</v>
      </c>
    </row>
    <row r="1182" spans="1:5" x14ac:dyDescent="0.3">
      <c r="A1182" s="1">
        <f t="shared" si="18"/>
        <v>1181</v>
      </c>
      <c r="B1182" s="1">
        <v>-0.89544958560643628</v>
      </c>
      <c r="C1182" s="1">
        <v>-0.41618322076952091</v>
      </c>
      <c r="D1182" s="1">
        <v>-0.1804005932970156</v>
      </c>
      <c r="E1182" s="2">
        <f>SQRT(horizons_results_fin_use___Copy__2[[#This Row],[X (Position in AU)]]^2+horizons_results_fin_use___Copy__2[[#This Row],[Y (Position in AU)]]^2+horizons_results_fin_use___Copy__2[[#This Row],[Z (Position in AU)]]^2)</f>
        <v>1.0037842435876076</v>
      </c>
    </row>
    <row r="1183" spans="1:5" x14ac:dyDescent="0.3">
      <c r="A1183" s="1">
        <f t="shared" si="18"/>
        <v>1182</v>
      </c>
      <c r="B1183" s="1">
        <v>-0.88781820164991765</v>
      </c>
      <c r="C1183" s="1">
        <v>-0.43026490541793122</v>
      </c>
      <c r="D1183" s="1">
        <v>-0.18650409004406659</v>
      </c>
      <c r="E1183" s="2">
        <f>SQRT(horizons_results_fin_use___Copy__2[[#This Row],[X (Position in AU)]]^2+horizons_results_fin_use___Copy__2[[#This Row],[Y (Position in AU)]]^2+horizons_results_fin_use___Copy__2[[#This Row],[Z (Position in AU)]]^2)</f>
        <v>1.0040581774072459</v>
      </c>
    </row>
    <row r="1184" spans="1:5" x14ac:dyDescent="0.3">
      <c r="A1184" s="1">
        <f t="shared" si="18"/>
        <v>1183</v>
      </c>
      <c r="B1184" s="1">
        <v>-0.87992683661291415</v>
      </c>
      <c r="C1184" s="1">
        <v>-0.44421948630255143</v>
      </c>
      <c r="D1184" s="1">
        <v>-0.19255243266584729</v>
      </c>
      <c r="E1184" s="2">
        <f>SQRT(horizons_results_fin_use___Copy__2[[#This Row],[X (Position in AU)]]^2+horizons_results_fin_use___Copy__2[[#This Row],[Y (Position in AU)]]^2+horizons_results_fin_use___Copy__2[[#This Row],[Z (Position in AU)]]^2)</f>
        <v>1.0043299403722108</v>
      </c>
    </row>
    <row r="1185" spans="1:5" x14ac:dyDescent="0.3">
      <c r="A1185" s="1">
        <f t="shared" si="18"/>
        <v>1184</v>
      </c>
      <c r="B1185" s="1">
        <v>-0.87177832780373599</v>
      </c>
      <c r="C1185" s="1">
        <v>-0.45804289476201909</v>
      </c>
      <c r="D1185" s="1">
        <v>-0.19854388751351781</v>
      </c>
      <c r="E1185" s="2">
        <f>SQRT(horizons_results_fin_use___Copy__2[[#This Row],[X (Position in AU)]]^2+horizons_results_fin_use___Copy__2[[#This Row],[Y (Position in AU)]]^2+horizons_results_fin_use___Copy__2[[#This Row],[Z (Position in AU)]]^2)</f>
        <v>1.0045996324602298</v>
      </c>
    </row>
    <row r="1186" spans="1:5" x14ac:dyDescent="0.3">
      <c r="A1186" s="1">
        <f t="shared" si="18"/>
        <v>1185</v>
      </c>
      <c r="B1186" s="1">
        <v>-0.86337560748391562</v>
      </c>
      <c r="C1186" s="1">
        <v>-0.47173116556854422</v>
      </c>
      <c r="D1186" s="1">
        <v>-0.20447676901667869</v>
      </c>
      <c r="E1186" s="2">
        <f>SQRT(horizons_results_fin_use___Copy__2[[#This Row],[X (Position in AU)]]^2+horizons_results_fin_use___Copy__2[[#This Row],[Y (Position in AU)]]^2+horizons_results_fin_use___Copy__2[[#This Row],[Z (Position in AU)]]^2)</f>
        <v>1.0048673948508717</v>
      </c>
    </row>
    <row r="1187" spans="1:5" x14ac:dyDescent="0.3">
      <c r="A1187" s="1">
        <f t="shared" si="18"/>
        <v>1186</v>
      </c>
      <c r="B1187" s="1">
        <v>-0.85472169090600136</v>
      </c>
      <c r="C1187" s="1">
        <v>-0.48528044713753099</v>
      </c>
      <c r="D1187" s="1">
        <v>-0.21034944312219001</v>
      </c>
      <c r="E1187" s="2">
        <f>SQRT(horizons_results_fin_use___Copy__2[[#This Row],[X (Position in AU)]]^2+horizons_results_fin_use___Copy__2[[#This Row],[Y (Position in AU)]]^2+horizons_results_fin_use___Copy__2[[#This Row],[Z (Position in AU)]]^2)</f>
        <v>1.0051334088075232</v>
      </c>
    </row>
    <row r="1188" spans="1:5" x14ac:dyDescent="0.3">
      <c r="A1188" s="1">
        <f t="shared" si="18"/>
        <v>1187</v>
      </c>
      <c r="B1188" s="1">
        <v>-0.84581966014939558</v>
      </c>
      <c r="C1188" s="1">
        <v>-0.49868701176149949</v>
      </c>
      <c r="D1188" s="1">
        <v>-0.21616033033117341</v>
      </c>
      <c r="E1188" s="2">
        <f>SQRT(horizons_results_fin_use___Copy__2[[#This Row],[X (Position in AU)]]^2+horizons_results_fin_use___Copy__2[[#This Row],[Y (Position in AU)]]^2+horizons_results_fin_use___Copy__2[[#This Row],[Z (Position in AU)]]^2)</f>
        <v>1.0053978921818638</v>
      </c>
    </row>
    <row r="1189" spans="1:5" x14ac:dyDescent="0.3">
      <c r="A1189" s="1">
        <f t="shared" si="18"/>
        <v>1188</v>
      </c>
      <c r="B1189" s="1">
        <v>-0.83667264207951697</v>
      </c>
      <c r="C1189" s="1">
        <v>-0.51194726419148462</v>
      </c>
      <c r="D1189" s="1">
        <v>-0.22190790742595601</v>
      </c>
      <c r="E1189" s="2">
        <f>SQRT(horizons_results_fin_use___Copy__2[[#This Row],[X (Position in AU)]]^2+horizons_results_fin_use___Copy__2[[#This Row],[Y (Position in AU)]]^2+horizons_results_fin_use___Copy__2[[#This Row],[Z (Position in AU)]]^2)</f>
        <v>1.0056610913700659</v>
      </c>
    </row>
    <row r="1190" spans="1:5" x14ac:dyDescent="0.3">
      <c r="A1190" s="1">
        <f t="shared" si="18"/>
        <v>1189</v>
      </c>
      <c r="B1190" s="1">
        <v>-0.82728377957381849</v>
      </c>
      <c r="C1190" s="1">
        <v>-0.5250577452914299</v>
      </c>
      <c r="D1190" s="1">
        <v>-0.2275907063475173</v>
      </c>
      <c r="E1190" s="2">
        <f>SQRT(horizons_results_fin_use___Copy__2[[#This Row],[X (Position in AU)]]^2+horizons_results_fin_use___Copy__2[[#This Row],[Y (Position in AU)]]^2+horizons_results_fin_use___Copy__2[[#This Row],[Z (Position in AU)]]^2)</f>
        <v>1.0059232661849631</v>
      </c>
    </row>
    <row r="1191" spans="1:5" x14ac:dyDescent="0.3">
      <c r="A1191" s="1">
        <f t="shared" si="18"/>
        <v>1190</v>
      </c>
      <c r="B1191" s="1">
        <v>-0.81765619750130503</v>
      </c>
      <c r="C1191" s="1">
        <v>-0.53801512611667124</v>
      </c>
      <c r="D1191" s="1">
        <v>-0.23320730830093361</v>
      </c>
      <c r="E1191" s="2">
        <f>SQRT(horizons_results_fin_use___Copy__2[[#This Row],[X (Position in AU)]]^2+horizons_results_fin_use___Copy__2[[#This Row],[Y (Position in AU)]]^2+horizons_results_fin_use___Copy__2[[#This Row],[Z (Position in AU)]]^2)</f>
        <v>1.0061846658976659</v>
      </c>
    </row>
    <row r="1192" spans="1:5" x14ac:dyDescent="0.3">
      <c r="A1192" s="1">
        <f t="shared" si="18"/>
        <v>1191</v>
      </c>
      <c r="B1192" s="1">
        <v>-0.80779296876665696</v>
      </c>
      <c r="C1192" s="1">
        <v>-0.5508161879231368</v>
      </c>
      <c r="D1192" s="1">
        <v>-0.23875633160874549</v>
      </c>
      <c r="E1192" s="2">
        <f>SQRT(horizons_results_fin_use___Copy__2[[#This Row],[X (Position in AU)]]^2+horizons_results_fin_use___Copy__2[[#This Row],[Y (Position in AU)]]^2+horizons_results_fin_use___Copy__2[[#This Row],[Z (Position in AU)]]^2)</f>
        <v>1.0064454973570556</v>
      </c>
    </row>
    <row r="1193" spans="1:5" x14ac:dyDescent="0.3">
      <c r="A1193" s="1">
        <f t="shared" si="18"/>
        <v>1192</v>
      </c>
      <c r="B1193" s="1">
        <v>-0.79769708951892915</v>
      </c>
      <c r="C1193" s="1">
        <v>-0.56345778671952085</v>
      </c>
      <c r="D1193" s="1">
        <v>-0.2442364135841841</v>
      </c>
      <c r="E1193" s="2">
        <f>SQRT(horizons_results_fin_use___Copy__2[[#This Row],[X (Position in AU)]]^2+horizons_results_fin_use___Copy__2[[#This Row],[Y (Position in AU)]]^2+horizons_results_fin_use___Copy__2[[#This Row],[Z (Position in AU)]]^2)</f>
        <v>1.0067058903981321</v>
      </c>
    </row>
    <row r="1194" spans="1:5" x14ac:dyDescent="0.3">
      <c r="A1194" s="1">
        <f t="shared" si="18"/>
        <v>1193</v>
      </c>
      <c r="B1194" s="1">
        <v>-0.78737147335875524</v>
      </c>
      <c r="C1194" s="1">
        <v>-0.57593680700265859</v>
      </c>
      <c r="D1194" s="1">
        <v>-0.24964618945077269</v>
      </c>
      <c r="E1194" s="2">
        <f>SQRT(horizons_results_fin_use___Copy__2[[#This Row],[X (Position in AU)]]^2+horizons_results_fin_use___Copy__2[[#This Row],[Y (Position in AU)]]^2+horizons_results_fin_use___Copy__2[[#This Row],[Z (Position in AU)]]^2)</f>
        <v>1.0069658696434778</v>
      </c>
    </row>
    <row r="1195" spans="1:5" x14ac:dyDescent="0.3">
      <c r="A1195" s="1">
        <f t="shared" si="18"/>
        <v>1194</v>
      </c>
      <c r="B1195" s="1">
        <v>-0.77681896963528896</v>
      </c>
      <c r="C1195" s="1">
        <v>-0.58825011539411609</v>
      </c>
      <c r="D1195" s="1">
        <v>-0.25498427357700842</v>
      </c>
      <c r="E1195" s="2">
        <f>SQRT(horizons_results_fin_use___Copy__2[[#This Row],[X (Position in AU)]]^2+horizons_results_fin_use___Copy__2[[#This Row],[Y (Position in AU)]]^2+horizons_results_fin_use___Copy__2[[#This Row],[Z (Position in AU)]]^2)</f>
        <v>1.0072253420253174</v>
      </c>
    </row>
    <row r="1196" spans="1:5" x14ac:dyDescent="0.3">
      <c r="A1196" s="1">
        <f t="shared" si="18"/>
        <v>1195</v>
      </c>
      <c r="B1196" s="1">
        <v>-0.76604240207078755</v>
      </c>
      <c r="C1196" s="1">
        <v>-0.60039452656637948</v>
      </c>
      <c r="D1196" s="1">
        <v>-0.26024924817390122</v>
      </c>
      <c r="E1196" s="2">
        <f>SQRT(horizons_results_fin_use___Copy__2[[#This Row],[X (Position in AU)]]^2+horizons_results_fin_use___Copy__2[[#This Row],[Y (Position in AU)]]^2+horizons_results_fin_use___Copy__2[[#This Row],[Z (Position in AU)]]^2)</f>
        <v>1.0074841043293585</v>
      </c>
    </row>
    <row r="1197" spans="1:5" x14ac:dyDescent="0.3">
      <c r="A1197" s="1">
        <f t="shared" si="18"/>
        <v>1196</v>
      </c>
      <c r="B1197" s="1">
        <v>-0.75504461635369213</v>
      </c>
      <c r="C1197" s="1">
        <v>-0.61236678915601583</v>
      </c>
      <c r="D1197" s="1">
        <v>-0.26543966177303963</v>
      </c>
      <c r="E1197" s="2">
        <f>SQRT(horizons_results_fin_use___Copy__2[[#This Row],[X (Position in AU)]]^2+horizons_results_fin_use___Copy__2[[#This Row],[Y (Position in AU)]]^2+horizons_results_fin_use___Copy__2[[#This Row],[Z (Position in AU)]]^2)</f>
        <v>1.0077418673391159</v>
      </c>
    </row>
    <row r="1198" spans="1:5" x14ac:dyDescent="0.3">
      <c r="A1198" s="1">
        <f t="shared" si="18"/>
        <v>1197</v>
      </c>
      <c r="B1198" s="1">
        <v>-0.74382852384365694</v>
      </c>
      <c r="C1198" s="1">
        <v>-0.62416359131221733</v>
      </c>
      <c r="D1198" s="1">
        <v>-0.2705540360731219</v>
      </c>
      <c r="E1198" s="2">
        <f>SQRT(horizons_results_fin_use___Copy__2[[#This Row],[X (Position in AU)]]^2+horizons_results_fin_use___Copy__2[[#This Row],[Y (Position in AU)]]^2+horizons_results_fin_use___Copy__2[[#This Row],[Z (Position in AU)]]^2)</f>
        <v>1.0079982877161322</v>
      </c>
    </row>
    <row r="1199" spans="1:5" x14ac:dyDescent="0.3">
      <c r="A1199" s="1">
        <f t="shared" si="18"/>
        <v>1198</v>
      </c>
      <c r="B1199" s="1">
        <v>-0.7323971330521164</v>
      </c>
      <c r="C1199" s="1">
        <v>-0.63578157933374091</v>
      </c>
      <c r="D1199" s="1">
        <v>-0.2755908774255999</v>
      </c>
      <c r="E1199" s="2">
        <f>SQRT(horizons_results_fin_use___Copy__2[[#This Row],[X (Position in AU)]]^2+horizons_results_fin_use___Copy__2[[#This Row],[Y (Position in AU)]]^2+horizons_results_fin_use___Copy__2[[#This Row],[Z (Position in AU)]]^2)</f>
        <v>1.0082529984300952</v>
      </c>
    </row>
    <row r="1200" spans="1:5" x14ac:dyDescent="0.3">
      <c r="A1200" s="1">
        <f t="shared" si="18"/>
        <v>1199</v>
      </c>
      <c r="B1200" s="1">
        <v>-0.72075356702430926</v>
      </c>
      <c r="C1200" s="1">
        <v>-0.64721738124967809</v>
      </c>
      <c r="D1200" s="1">
        <v>-0.28054868914928027</v>
      </c>
      <c r="E1200" s="2">
        <f>SQRT(horizons_results_fin_use___Copy__2[[#This Row],[X (Position in AU)]]^2+horizons_results_fin_use___Copy__2[[#This Row],[Y (Position in AU)]]^2+horizons_results_fin_use___Copy__2[[#This Row],[Z (Position in AU)]]^2)</f>
        <v>1.0085056320880592</v>
      </c>
    </row>
    <row r="1201" spans="1:5" x14ac:dyDescent="0.3">
      <c r="A1201" s="1">
        <f t="shared" si="18"/>
        <v>1200</v>
      </c>
      <c r="B1201" s="1">
        <v>-0.70890106935356645</v>
      </c>
      <c r="C1201" s="1">
        <v>-0.65846762921698754</v>
      </c>
      <c r="D1201" s="1">
        <v>-0.28542598221120552</v>
      </c>
      <c r="E1201" s="2">
        <f>SQRT(horizons_results_fin_use___Copy__2[[#This Row],[X (Position in AU)]]^2+horizons_results_fin_use___Copy__2[[#This Row],[Y (Position in AU)]]^2+horizons_results_fin_use___Copy__2[[#This Row],[Z (Position in AU)]]^2)</f>
        <v>1.0087558357593287</v>
      </c>
    </row>
    <row r="1202" spans="1:5" x14ac:dyDescent="0.3">
      <c r="A1202" s="1">
        <f t="shared" si="18"/>
        <v>1201</v>
      </c>
      <c r="B1202" s="1">
        <v>-0.69684300318917425</v>
      </c>
      <c r="C1202" s="1">
        <v>-0.66952897775440434</v>
      </c>
      <c r="D1202" s="1">
        <v>-0.2902212833712346</v>
      </c>
      <c r="E1202" s="2">
        <f>SQRT(horizons_results_fin_use___Copy__2[[#This Row],[X (Position in AU)]]^2+horizons_results_fin_use___Copy__2[[#This Row],[Y (Position in AU)]]^2+horizons_results_fin_use___Copy__2[[#This Row],[Z (Position in AU)]]^2)</f>
        <v>1.0090032787202485</v>
      </c>
    </row>
    <row r="1203" spans="1:5" x14ac:dyDescent="0.3">
      <c r="A1203" s="1">
        <f t="shared" si="18"/>
        <v>1202</v>
      </c>
      <c r="B1203" s="1">
        <v>-0.68458284713199602</v>
      </c>
      <c r="C1203" s="1">
        <v>-0.68039811735513467</v>
      </c>
      <c r="D1203" s="1">
        <v>-0.29493314096542222</v>
      </c>
      <c r="E1203" s="2">
        <f>SQRT(horizons_results_fin_use___Copy__2[[#This Row],[X (Position in AU)]]^2+horizons_results_fin_use___Copy__2[[#This Row],[Y (Position in AU)]]^2+horizons_results_fin_use___Copy__2[[#This Row],[Z (Position in AU)]]^2)</f>
        <v>1.0092476555967276</v>
      </c>
    </row>
    <row r="1204" spans="1:5" x14ac:dyDescent="0.3">
      <c r="A1204" s="1">
        <f t="shared" si="18"/>
        <v>1203</v>
      </c>
      <c r="B1204" s="1">
        <v>-0.67212419062074169</v>
      </c>
      <c r="C1204" s="1">
        <v>-0.69107178441665484</v>
      </c>
      <c r="D1204" s="1">
        <v>-0.2995601289987968</v>
      </c>
      <c r="E1204" s="2">
        <f>SQRT(horizons_results_fin_use___Copy__2[[#This Row],[X (Position in AU)]]^2+horizons_results_fin_use___Copy__2[[#This Row],[Y (Position in AU)]]^2+horizons_results_fin_use___Copy__2[[#This Row],[Z (Position in AU)]]^2)</f>
        <v>1.0094886872670652</v>
      </c>
    </row>
    <row r="1205" spans="1:5" x14ac:dyDescent="0.3">
      <c r="A1205" s="1">
        <f t="shared" si="18"/>
        <v>1204</v>
      </c>
      <c r="B1205" s="1">
        <v>-0.65947073011498913</v>
      </c>
      <c r="C1205" s="1">
        <v>-0.7015467689139171</v>
      </c>
      <c r="D1205" s="1">
        <v>-0.30410085030877693</v>
      </c>
      <c r="E1205" s="2">
        <f>SQRT(horizons_results_fin_use___Copy__2[[#This Row],[X (Position in AU)]]^2+horizons_results_fin_use___Copy__2[[#This Row],[Y (Position in AU)]]^2+horizons_results_fin_use___Copy__2[[#This Row],[Z (Position in AU)]]^2)</f>
        <v>1.009726121287587</v>
      </c>
    </row>
    <row r="1206" spans="1:5" x14ac:dyDescent="0.3">
      <c r="A1206" s="1">
        <f t="shared" si="18"/>
        <v>1205</v>
      </c>
      <c r="B1206" s="1">
        <v>-0.64662626638703402</v>
      </c>
      <c r="C1206" s="1">
        <v>-0.71181992119736825</v>
      </c>
      <c r="D1206" s="1">
        <v>-0.30855393944332071</v>
      </c>
      <c r="E1206" s="2">
        <f>SQRT(horizons_results_fin_use___Copy__2[[#This Row],[X (Position in AU)]]^2+horizons_results_fin_use___Copy__2[[#This Row],[Y (Position in AU)]]^2+horizons_results_fin_use___Copy__2[[#This Row],[Z (Position in AU)]]^2)</f>
        <v>1.0099597329305041</v>
      </c>
    </row>
    <row r="1207" spans="1:5" x14ac:dyDescent="0.3">
      <c r="A1207" s="1">
        <f t="shared" si="18"/>
        <v>1206</v>
      </c>
      <c r="B1207" s="1">
        <v>-0.63359470257300943</v>
      </c>
      <c r="C1207" s="1">
        <v>-0.72188815899512437</v>
      </c>
      <c r="D1207" s="1">
        <v>-0.31291806569871372</v>
      </c>
      <c r="E1207" s="2">
        <f>SQRT(horizons_results_fin_use___Copy__2[[#This Row],[X (Position in AU)]]^2+horizons_results_fin_use___Copy__2[[#This Row],[Y (Position in AU)]]^2+horizons_results_fin_use___Copy__2[[#This Row],[Z (Position in AU)]]^2)</f>
        <v>1.0101893273374922</v>
      </c>
    </row>
    <row r="1208" spans="1:5" x14ac:dyDescent="0.3">
      <c r="A1208" s="1">
        <f t="shared" si="18"/>
        <v>1207</v>
      </c>
      <c r="B1208" s="1">
        <v>-0.62038004225254029</v>
      </c>
      <c r="C1208" s="1">
        <v>-0.73174847528878384</v>
      </c>
      <c r="D1208" s="1">
        <v>-0.3171919365422104</v>
      </c>
      <c r="E1208" s="2">
        <f>SQRT(horizons_results_fin_use___Copy__2[[#This Row],[X (Position in AU)]]^2+horizons_results_fin_use___Copy__2[[#This Row],[Y (Position in AU)]]^2+horizons_results_fin_use___Copy__2[[#This Row],[Z (Position in AU)]]^2)</f>
        <v>1.0104147428259949</v>
      </c>
    </row>
    <row r="1209" spans="1:5" x14ac:dyDescent="0.3">
      <c r="A1209" s="1">
        <f t="shared" si="18"/>
        <v>1208</v>
      </c>
      <c r="B1209" s="1">
        <v>-0.60698638668049754</v>
      </c>
      <c r="C1209" s="1">
        <v>-0.74139794729359509</v>
      </c>
      <c r="D1209" s="1">
        <v>-0.3213743014354119</v>
      </c>
      <c r="E1209" s="2">
        <f>SQRT(horizons_results_fin_use___Copy__2[[#This Row],[X (Position in AU)]]^2+horizons_results_fin_use___Copy__2[[#This Row],[Y (Position in AU)]]^2+horizons_results_fin_use___Copy__2[[#This Row],[Z (Position in AU)]]^2)</f>
        <v>1.0106358550386494</v>
      </c>
    </row>
    <row r="1210" spans="1:5" x14ac:dyDescent="0.3">
      <c r="A1210" s="1">
        <f t="shared" si="18"/>
        <v>1209</v>
      </c>
      <c r="B1210" s="1">
        <v>-0.59341793035373636</v>
      </c>
      <c r="C1210" s="1">
        <v>-0.75083374636872968</v>
      </c>
      <c r="D1210" s="1">
        <v>-0.32546395590023092</v>
      </c>
      <c r="E1210" s="2">
        <f>SQRT(horizons_results_fin_use___Copy__2[[#This Row],[X (Position in AU)]]^2+horizons_results_fin_use___Copy__2[[#This Row],[Y (Position in AU)]]^2+horizons_results_fin_use___Copy__2[[#This Row],[Z (Position in AU)]]^2)</f>
        <v>1.0108525814091989</v>
      </c>
    </row>
    <row r="1211" spans="1:5" x14ac:dyDescent="0.3">
      <c r="A1211" s="1">
        <f t="shared" si="18"/>
        <v>1210</v>
      </c>
      <c r="B1211" s="1">
        <v>-0.57967895431561078</v>
      </c>
      <c r="C1211" s="1">
        <v>-0.76005314837945848</v>
      </c>
      <c r="D1211" s="1">
        <v>-0.32945974555609903</v>
      </c>
      <c r="E1211" s="2">
        <f>SQRT(horizons_results_fin_use___Copy__2[[#This Row],[X (Position in AU)]]^2+horizons_results_fin_use___Copy__2[[#This Row],[Y (Position in AU)]]^2+horizons_results_fin_use___Copy__2[[#This Row],[Z (Position in AU)]]^2)</f>
        <v>1.0110648853460675</v>
      </c>
    </row>
    <row r="1212" spans="1:5" x14ac:dyDescent="0.3">
      <c r="A1212" s="1">
        <f t="shared" si="18"/>
        <v>1211</v>
      </c>
      <c r="B1212" s="1">
        <v>-0.565773816897292</v>
      </c>
      <c r="C1212" s="1">
        <v>-0.76905354388534775</v>
      </c>
      <c r="D1212" s="1">
        <v>-0.33336056982086731</v>
      </c>
      <c r="E1212" s="2">
        <f>SQRT(horizons_results_fin_use___Copy__2[[#This Row],[X (Position in AU)]]^2+horizons_results_fin_use___Copy__2[[#This Row],[Y (Position in AU)]]^2+horizons_results_fin_use___Copy__2[[#This Row],[Z (Position in AU)]]^2)</f>
        <v>1.0112727796002601</v>
      </c>
    </row>
    <row r="1213" spans="1:5" x14ac:dyDescent="0.3">
      <c r="A1213" s="1">
        <f t="shared" si="18"/>
        <v>1212</v>
      </c>
      <c r="B1213" s="1">
        <v>-0.55170694184845415</v>
      </c>
      <c r="C1213" s="1">
        <v>-0.77783244754280012</v>
      </c>
      <c r="D1213" s="1">
        <v>-0.33716538499936238</v>
      </c>
      <c r="E1213" s="2">
        <f>SQRT(horizons_results_fin_use___Copy__2[[#This Row],[X (Position in AU)]]^2+horizons_results_fin_use___Copy__2[[#This Row],[Y (Position in AU)]]^2+horizons_results_fin_use___Copy__2[[#This Row],[Z (Position in AU)]]^2)</f>
        <v>1.0114763284308559</v>
      </c>
    </row>
    <row r="1214" spans="1:5" x14ac:dyDescent="0.3">
      <c r="A1214" s="1">
        <f t="shared" si="18"/>
        <v>1213</v>
      </c>
      <c r="B1214" s="1">
        <v>-0.53748280391153136</v>
      </c>
      <c r="C1214" s="1">
        <v>-0.78638750621285847</v>
      </c>
      <c r="D1214" s="1">
        <v>-0.34087320653933179</v>
      </c>
      <c r="E1214" s="2">
        <f>SQRT(horizons_results_fin_use___Copy__2[[#This Row],[X (Position in AU)]]^2+horizons_results_fin_use___Copy__2[[#This Row],[Y (Position in AU)]]^2+horizons_results_fin_use___Copy__2[[#This Row],[Z (Position in AU)]]^2)</f>
        <v>1.0116756483007219</v>
      </c>
    </row>
    <row r="1215" spans="1:5" x14ac:dyDescent="0.3">
      <c r="A1215" s="1">
        <f t="shared" si="18"/>
        <v>1214</v>
      </c>
      <c r="B1215" s="1">
        <v>-0.52310591181090671</v>
      </c>
      <c r="C1215" s="1">
        <v>-0.79471650530911619</v>
      </c>
      <c r="D1215" s="1">
        <v>-0.3444831102461301</v>
      </c>
      <c r="E1215" s="2">
        <f>SQRT(horizons_results_fin_use___Copy__2[[#This Row],[X (Position in AU)]]^2+horizons_results_fin_use___Copy__2[[#This Row],[Y (Position in AU)]]^2+horizons_results_fin_use___Copy__2[[#This Row],[Z (Position in AU)]]^2)</f>
        <v>1.0118709067994307</v>
      </c>
    </row>
    <row r="1216" spans="1:5" x14ac:dyDescent="0.3">
      <c r="A1216" s="1">
        <f t="shared" si="18"/>
        <v>1215</v>
      </c>
      <c r="B1216" s="1">
        <v>-0.50858078846244104</v>
      </c>
      <c r="C1216" s="1">
        <v>-0.80281737273763776</v>
      </c>
      <c r="D1216" s="1">
        <v>-0.34799423215046937</v>
      </c>
      <c r="E1216" s="2">
        <f>SQRT(horizons_results_fin_use___Copy__2[[#This Row],[X (Position in AU)]]^2+horizons_results_fin_use___Copy__2[[#This Row],[Y (Position in AU)]]^2+horizons_results_fin_use___Copy__2[[#This Row],[Z (Position in AU)]]^2)</f>
        <v>1.0120623192138101</v>
      </c>
    </row>
    <row r="1217" spans="1:5" x14ac:dyDescent="0.3">
      <c r="A1217" s="1">
        <f t="shared" si="18"/>
        <v>1216</v>
      </c>
      <c r="B1217" s="1">
        <v>-0.4939119482155549</v>
      </c>
      <c r="C1217" s="1">
        <v>-0.81068817927217451</v>
      </c>
      <c r="D1217" s="1">
        <v>-0.35140576649958261</v>
      </c>
      <c r="E1217" s="2">
        <f>SQRT(horizons_results_fin_use___Copy__2[[#This Row],[X (Position in AU)]]^2+horizons_results_fin_use___Copy__2[[#This Row],[Y (Position in AU)]]^2+horizons_results_fin_use___Copy__2[[#This Row],[Z (Position in AU)]]^2)</f>
        <v>1.0122501416798506</v>
      </c>
    </row>
    <row r="1218" spans="1:5" x14ac:dyDescent="0.3">
      <c r="A1218" s="1">
        <f t="shared" si="18"/>
        <v>1217</v>
      </c>
      <c r="B1218" s="1">
        <v>-0.47910387148199768</v>
      </c>
      <c r="C1218" s="1">
        <v>-0.81832713346607944</v>
      </c>
      <c r="D1218" s="1">
        <v>-0.35471696106817452</v>
      </c>
      <c r="E1218" s="2">
        <f>SQRT(horizons_results_fin_use___Copy__2[[#This Row],[X (Position in AU)]]^2+horizons_results_fin_use___Copy__2[[#This Row],[Y (Position in AU)]]^2+horizons_results_fin_use___Copy__2[[#This Row],[Z (Position in AU)]]^2)</f>
        <v>1.0124346593757496</v>
      </c>
    </row>
    <row r="1219" spans="1:5" x14ac:dyDescent="0.3">
      <c r="A1219" s="1">
        <f t="shared" si="18"/>
        <v>1218</v>
      </c>
      <c r="B1219" s="1">
        <v>-0.46416097849206678</v>
      </c>
      <c r="C1219" s="1">
        <v>-0.82573256863214572</v>
      </c>
      <c r="D1219" s="1">
        <v>-0.35792710887168072</v>
      </c>
      <c r="E1219" s="2">
        <f>SQRT(horizons_results_fin_use___Copy__2[[#This Row],[X (Position in AU)]]^2+horizons_results_fin_use___Copy__2[[#This Row],[Y (Position in AU)]]^2+horizons_results_fin_use___Copy__2[[#This Row],[Z (Position in AU)]]^2)</f>
        <v>1.0126161682097488</v>
      </c>
    </row>
    <row r="1220" spans="1:5" x14ac:dyDescent="0.3">
      <c r="A1220" s="1">
        <f t="shared" ref="A1220:A1283" si="19">A1219+1</f>
        <v>1219</v>
      </c>
      <c r="B1220" s="1">
        <v>-0.44908760608001957</v>
      </c>
      <c r="C1220" s="1">
        <v>-0.83290291976209951</v>
      </c>
      <c r="D1220" s="1">
        <v>-0.36103553573068009</v>
      </c>
      <c r="E1220" s="2">
        <f>SQRT(horizons_results_fin_use___Copy__2[[#This Row],[X (Position in AU)]]^2+horizons_results_fin_use___Copy__2[[#This Row],[Y (Position in AU)]]^2+horizons_results_fin_use___Copy__2[[#This Row],[Z (Position in AU)]]^2)</f>
        <v>1.0127949495052058</v>
      </c>
    </row>
    <row r="1221" spans="1:5" x14ac:dyDescent="0.3">
      <c r="A1221" s="1">
        <f t="shared" si="19"/>
        <v>1220</v>
      </c>
      <c r="B1221" s="1">
        <v>-0.43388799348362661</v>
      </c>
      <c r="C1221" s="1">
        <v>-0.83983669028185104</v>
      </c>
      <c r="D1221" s="1">
        <v>-0.36404158423900151</v>
      </c>
      <c r="E1221" s="2">
        <f>SQRT(horizons_results_fin_use___Copy__2[[#This Row],[X (Position in AU)]]^2+horizons_results_fin_use___Copy__2[[#This Row],[Y (Position in AU)]]^2+horizons_results_fin_use___Copy__2[[#This Row],[Z (Position in AU)]]^2)</f>
        <v>1.0129712396154509</v>
      </c>
    </row>
    <row r="1222" spans="1:5" x14ac:dyDescent="0.3">
      <c r="A1222" s="1">
        <f t="shared" si="19"/>
        <v>1221</v>
      </c>
      <c r="B1222" s="1">
        <v>-0.41856628347909558</v>
      </c>
      <c r="C1222" s="1">
        <v>-0.84653241228958442</v>
      </c>
      <c r="D1222" s="1">
        <v>-0.36694459638150861</v>
      </c>
      <c r="E1222" s="2">
        <f>SQRT(horizons_results_fin_use___Copy__2[[#This Row],[X (Position in AU)]]^2+horizons_results_fin_use___Copy__2[[#This Row],[Y (Position in AU)]]^2+horizons_results_fin_use___Copy__2[[#This Row],[Z (Position in AU)]]^2)</f>
        <v>1.0131451996312837</v>
      </c>
    </row>
    <row r="1223" spans="1:5" x14ac:dyDescent="0.3">
      <c r="A1223" s="1">
        <f t="shared" si="19"/>
        <v>1222</v>
      </c>
      <c r="B1223" s="1">
        <v>-0.40312654222687427</v>
      </c>
      <c r="C1223" s="1">
        <v>-0.85298860791917686</v>
      </c>
      <c r="D1223" s="1">
        <v>-0.36974389852160078</v>
      </c>
      <c r="E1223" s="2">
        <f>SQRT(horizons_results_fin_use___Copy__2[[#This Row],[X (Position in AU)]]^2+horizons_results_fin_use___Copy__2[[#This Row],[Y (Position in AU)]]^2+horizons_results_fin_use___Copy__2[[#This Row],[Z (Position in AU)]]^2)</f>
        <v>1.0133168925768696</v>
      </c>
    </row>
    <row r="1224" spans="1:5" x14ac:dyDescent="0.3">
      <c r="A1224" s="1">
        <f t="shared" si="19"/>
        <v>1223</v>
      </c>
      <c r="B1224" s="1">
        <v>-0.38757279531594241</v>
      </c>
      <c r="C1224" s="1">
        <v>-0.85920376103844076</v>
      </c>
      <c r="D1224" s="1">
        <v>-0.37243879258409851</v>
      </c>
      <c r="E1224" s="2">
        <f>SQRT(horizons_results_fin_use___Copy__2[[#This Row],[X (Position in AU)]]^2+horizons_results_fin_use___Copy__2[[#This Row],[Y (Position in AU)]]^2+horizons_results_fin_use___Copy__2[[#This Row],[Z (Position in AU)]]^2)</f>
        <v>1.0134862746347957</v>
      </c>
    </row>
    <row r="1225" spans="1:5" x14ac:dyDescent="0.3">
      <c r="A1225" s="1">
        <f t="shared" si="19"/>
        <v>1224</v>
      </c>
      <c r="B1225" s="1">
        <v>-0.37190907162036962</v>
      </c>
      <c r="C1225" s="1">
        <v>-0.86517630581221561</v>
      </c>
      <c r="D1225" s="1">
        <v>-0.37502855548673608</v>
      </c>
      <c r="E1225" s="2">
        <f>SQRT(horizons_results_fin_use___Copy__2[[#This Row],[X (Position in AU)]]^2+horizons_results_fin_use___Copy__2[[#This Row],[Y (Position in AU)]]^2+horizons_results_fin_use___Copy__2[[#This Row],[Z (Position in AU)]]^2)</f>
        <v>1.0136532025909382</v>
      </c>
    </row>
    <row r="1226" spans="1:5" x14ac:dyDescent="0.3">
      <c r="A1226" s="1">
        <f t="shared" si="19"/>
        <v>1225</v>
      </c>
      <c r="B1226" s="1">
        <v>-0.35613944436076689</v>
      </c>
      <c r="C1226" s="1">
        <v>-0.87090463282794262</v>
      </c>
      <c r="D1226" s="1">
        <v>-0.37751244607006978</v>
      </c>
      <c r="E1226" s="2">
        <f>SQRT(horizons_results_fin_use___Copy__2[[#This Row],[X (Position in AU)]]^2+horizons_results_fin_use___Copy__2[[#This Row],[Y (Position in AU)]]^2+horizons_results_fin_use___Copy__2[[#This Row],[Z (Position in AU)]]^2)</f>
        <v>1.013817454105312</v>
      </c>
    </row>
    <row r="1227" spans="1:5" x14ac:dyDescent="0.3">
      <c r="A1227" s="1">
        <f t="shared" si="19"/>
        <v>1226</v>
      </c>
      <c r="B1227" s="1">
        <v>-0.34026806135100612</v>
      </c>
      <c r="C1227" s="1">
        <v>-0.87638710793427155</v>
      </c>
      <c r="D1227" s="1">
        <v>-0.37988971657836568</v>
      </c>
      <c r="E1227" s="2">
        <f>SQRT(horizons_results_fin_use___Copy__2[[#This Row],[X (Position in AU)]]^2+horizons_results_fin_use___Copy__2[[#This Row],[Y (Position in AU)]]^2+horizons_results_fin_use___Copy__2[[#This Row],[Z (Position in AU)]]^2)</f>
        <v>1.0139787538656615</v>
      </c>
    </row>
    <row r="1228" spans="1:5" x14ac:dyDescent="0.3">
      <c r="A1228" s="1">
        <f t="shared" si="19"/>
        <v>1227</v>
      </c>
      <c r="B1228" s="1">
        <v>-0.32429916163233657</v>
      </c>
      <c r="C1228" s="1">
        <v>-0.88162209654127843</v>
      </c>
      <c r="D1228" s="1">
        <v>-0.38215962520180879</v>
      </c>
      <c r="E1228" s="2">
        <f>SQRT(horizons_results_fin_use___Copy__2[[#This Row],[X (Position in AU)]]^2+horizons_results_fin_use___Copy__2[[#This Row],[Y (Position in AU)]]^2+horizons_results_fin_use___Copy__2[[#This Row],[Z (Position in AU)]]^2)</f>
        <v>1.0141367987010739</v>
      </c>
    </row>
    <row r="1229" spans="1:5" x14ac:dyDescent="0.3">
      <c r="A1229" s="1">
        <f t="shared" si="19"/>
        <v>1228</v>
      </c>
      <c r="B1229" s="1">
        <v>-0.30823708032066649</v>
      </c>
      <c r="C1229" s="1">
        <v>-0.88660798713033695</v>
      </c>
      <c r="D1229" s="1">
        <v>-0.38432144709405419</v>
      </c>
      <c r="E1229" s="2">
        <f>SQRT(horizons_results_fin_use___Copy__2[[#This Row],[X (Position in AU)]]^2+horizons_results_fin_use___Copy__2[[#This Row],[Y (Position in AU)]]^2+horizons_results_fin_use___Copy__2[[#This Row],[Z (Position in AU)]]^2)</f>
        <v>1.0142912773086361</v>
      </c>
    </row>
    <row r="1230" spans="1:5" x14ac:dyDescent="0.3">
      <c r="A1230" s="1">
        <f t="shared" si="19"/>
        <v>1229</v>
      </c>
      <c r="B1230" s="1">
        <v>-0.29208624575212028</v>
      </c>
      <c r="C1230" s="1">
        <v>-0.89134321043231668</v>
      </c>
      <c r="D1230" s="1">
        <v>-0.38637448270446079</v>
      </c>
      <c r="E1230" s="2">
        <f>SQRT(horizons_results_fin_use___Copy__2[[#This Row],[X (Position in AU)]]^2+horizons_results_fin_use___Copy__2[[#This Row],[Y (Position in AU)]]^2+horizons_results_fin_use___Copy__2[[#This Row],[Z (Position in AU)]]^2)</f>
        <v>1.0144418833163864</v>
      </c>
    </row>
    <row r="1231" spans="1:5" x14ac:dyDescent="0.3">
      <c r="A1231" s="1">
        <f t="shared" si="19"/>
        <v>1230</v>
      </c>
      <c r="B1231" s="1">
        <v>-0.27585117306953572</v>
      </c>
      <c r="C1231" s="1">
        <v>-0.89582625336533306</v>
      </c>
      <c r="D1231" s="1">
        <v>-0.38831806343543263</v>
      </c>
      <c r="E1231" s="2">
        <f>SQRT(horizons_results_fin_use___Copy__2[[#This Row],[X (Position in AU)]]^2+horizons_results_fin_use___Copy__2[[#This Row],[Y (Position in AU)]]^2+horizons_results_fin_use___Copy__2[[#This Row],[Z (Position in AU)]]^2)</f>
        <v>1.0145883225686434</v>
      </c>
    </row>
    <row r="1232" spans="1:5" x14ac:dyDescent="0.3">
      <c r="A1232" s="1">
        <f t="shared" si="19"/>
        <v>1231</v>
      </c>
      <c r="B1232" s="1">
        <v>-0.25953645729318747</v>
      </c>
      <c r="C1232" s="1">
        <v>-0.90005566852044105</v>
      </c>
      <c r="D1232" s="1">
        <v>-0.39015155527690992</v>
      </c>
      <c r="E1232" s="2">
        <f>SQRT(horizons_results_fin_use___Copy__2[[#This Row],[X (Position in AU)]]^2+horizons_results_fin_use___Copy__2[[#This Row],[Y (Position in AU)]]^2+horizons_results_fin_use___Copy__2[[#This Row],[Z (Position in AU)]]^2)</f>
        <v>1.0147303164807231</v>
      </c>
    </row>
    <row r="1233" spans="1:5" x14ac:dyDescent="0.3">
      <c r="A1233" s="1">
        <f t="shared" si="19"/>
        <v>1232</v>
      </c>
      <c r="B1233" s="1">
        <v>-0.24314676757902701</v>
      </c>
      <c r="C1233" s="1">
        <v>-0.90403008072874391</v>
      </c>
      <c r="D1233" s="1">
        <v>-0.39187436126617242</v>
      </c>
      <c r="E1233" s="2">
        <f>SQRT(horizons_results_fin_use___Copy__2[[#This Row],[X (Position in AU)]]^2+horizons_results_fin_use___Copy__2[[#This Row],[Y (Position in AU)]]^2+horizons_results_fin_use___Copy__2[[#This Row],[Z (Position in AU)]]^2)</f>
        <v>1.0148676034164845</v>
      </c>
    </row>
    <row r="1234" spans="1:5" x14ac:dyDescent="0.3">
      <c r="A1234" s="1">
        <f t="shared" si="19"/>
        <v>1233</v>
      </c>
      <c r="B1234" s="1">
        <v>-0.22668684323609059</v>
      </c>
      <c r="C1234" s="1">
        <v>-0.90774819235825477</v>
      </c>
      <c r="D1234" s="1">
        <v>-0.39348592355897111</v>
      </c>
      <c r="E1234" s="2">
        <f>SQRT(horizons_results_fin_use___Copy__2[[#This Row],[X (Position in AU)]]^2+horizons_results_fin_use___Copy__2[[#This Row],[Y (Position in AU)]]^2+horizons_results_fin_use___Copy__2[[#This Row],[Z (Position in AU)]]^2)</f>
        <v>1.0149999397364906</v>
      </c>
    </row>
    <row r="1235" spans="1:5" x14ac:dyDescent="0.3">
      <c r="A1235" s="1">
        <f t="shared" si="19"/>
        <v>1234</v>
      </c>
      <c r="B1235" s="1">
        <v>-0.21016149124481009</v>
      </c>
      <c r="C1235" s="1">
        <v>-0.91120878877637845</v>
      </c>
      <c r="D1235" s="1">
        <v>-0.39498572572099461</v>
      </c>
      <c r="E1235" s="2">
        <f>SQRT(horizons_results_fin_use___Copy__2[[#This Row],[X (Position in AU)]]^2+horizons_results_fin_use___Copy__2[[#This Row],[Y (Position in AU)]]^2+horizons_results_fin_use___Copy__2[[#This Row],[Z (Position in AU)]]^2)</f>
        <v>1.0151271017310581</v>
      </c>
    </row>
    <row r="1236" spans="1:5" x14ac:dyDescent="0.3">
      <c r="A1236" s="1">
        <f t="shared" si="19"/>
        <v>1235</v>
      </c>
      <c r="B1236" s="1">
        <v>-0.19357558443835329</v>
      </c>
      <c r="C1236" s="1">
        <v>-0.91441074504023023</v>
      </c>
      <c r="D1236" s="1">
        <v>-0.39637329562528623</v>
      </c>
      <c r="E1236" s="2">
        <f>SQRT(horizons_results_fin_use___Copy__2[[#This Row],[X (Position in AU)]]^2+horizons_results_fin_use___Copy__2[[#This Row],[Y (Position in AU)]]^2+horizons_results_fin_use___Copy__2[[#This Row],[Z (Position in AU)]]^2)</f>
        <v>1.0152488891993576</v>
      </c>
    </row>
    <row r="1237" spans="1:5" x14ac:dyDescent="0.3">
      <c r="A1237" s="1">
        <f t="shared" si="19"/>
        <v>1236</v>
      </c>
      <c r="B1237" s="1">
        <v>-0.17693405912919491</v>
      </c>
      <c r="C1237" s="1">
        <v>-0.91735303439591886</v>
      </c>
      <c r="D1237" s="1">
        <v>-0.39764820909025589</v>
      </c>
      <c r="E1237" s="2">
        <f>SQRT(horizons_results_fin_use___Copy__2[[#This Row],[X (Position in AU)]]^2+horizons_results_fin_use___Copy__2[[#This Row],[Y (Position in AU)]]^2+horizons_results_fin_use___Copy__2[[#This Row],[Z (Position in AU)]]^2)</f>
        <v>1.0153651309691609</v>
      </c>
    </row>
    <row r="1238" spans="1:5" x14ac:dyDescent="0.3">
      <c r="A1238" s="1">
        <f t="shared" si="19"/>
        <v>1237</v>
      </c>
      <c r="B1238" s="1">
        <v>-0.16024191079099109</v>
      </c>
      <c r="C1238" s="1">
        <v>-0.92003473859196472</v>
      </c>
      <c r="D1238" s="1">
        <v>-0.39881009412093371</v>
      </c>
      <c r="E1238" s="2">
        <f>SQRT(horizons_results_fin_use___Copy__2[[#This Row],[X (Position in AU)]]^2+horizons_results_fin_use___Copy__2[[#This Row],[Y (Position in AU)]]^2+horizons_results_fin_use___Copy__2[[#This Row],[Z (Position in AU)]]^2)</f>
        <v>1.0154756921574641</v>
      </c>
    </row>
    <row r="1239" spans="1:5" x14ac:dyDescent="0.3">
      <c r="A1239" s="1">
        <f t="shared" si="19"/>
        <v>1238</v>
      </c>
      <c r="B1239" s="1">
        <v>-0.1435041864973812</v>
      </c>
      <c r="C1239" s="1">
        <v>-0.92245505938205796</v>
      </c>
      <c r="D1239" s="1">
        <v>-0.39985863534677862</v>
      </c>
      <c r="E1239" s="2">
        <f>SQRT(horizons_results_fin_use___Copy__2[[#This Row],[X (Position in AU)]]^2+horizons_results_fin_use___Copy__2[[#This Row],[Y (Position in AU)]]^2+horizons_results_fin_use___Copy__2[[#This Row],[Z (Position in AU)]]^2)</f>
        <v>1.01558048247454</v>
      </c>
    </row>
    <row r="1240" spans="1:5" x14ac:dyDescent="0.3">
      <c r="A1240" s="1">
        <f t="shared" si="19"/>
        <v>1239</v>
      </c>
      <c r="B1240" s="1">
        <v>-0.12672597321921111</v>
      </c>
      <c r="C1240" s="1">
        <v>-0.92461333001509505</v>
      </c>
      <c r="D1240" s="1">
        <v>-0.4007935780344572</v>
      </c>
      <c r="E1240" s="2">
        <f>SQRT(horizons_results_fin_use___Copy__2[[#This Row],[X (Position in AU)]]^2+horizons_results_fin_use___Copy__2[[#This Row],[Y (Position in AU)]]^2+horizons_results_fin_use___Copy__2[[#This Row],[Z (Position in AU)]]^2)</f>
        <v>1.0156794644589511</v>
      </c>
    </row>
    <row r="1241" spans="1:5" x14ac:dyDescent="0.3">
      <c r="A1241" s="1">
        <f t="shared" si="19"/>
        <v>1240</v>
      </c>
      <c r="B1241" s="1">
        <v>-0.109912381749092</v>
      </c>
      <c r="C1241" s="1">
        <v>-0.92650902514048028</v>
      </c>
      <c r="D1241" s="1">
        <v>-0.4016147309577453</v>
      </c>
      <c r="E1241" s="2">
        <f>SQRT(horizons_results_fin_use___Copy__2[[#This Row],[X (Position in AU)]]^2+horizons_results_fin_use___Copy__2[[#This Row],[Y (Position in AU)]]^2+horizons_results_fin_use___Copy__2[[#This Row],[Z (Position in AU)]]^2)</f>
        <v>1.0157726603186283</v>
      </c>
    </row>
    <row r="1242" spans="1:5" x14ac:dyDescent="0.3">
      <c r="A1242" s="1">
        <f t="shared" si="19"/>
        <v>1241</v>
      </c>
      <c r="B1242" s="1">
        <v>-9.3068526795135761E-2</v>
      </c>
      <c r="C1242" s="1">
        <v>-0.92814176751890787</v>
      </c>
      <c r="D1242" s="1">
        <v>-0.40232196746798238</v>
      </c>
      <c r="E1242" s="2">
        <f>SQRT(horizons_results_fin_use___Copy__2[[#This Row],[X (Position in AU)]]^2+horizons_results_fin_use___Copy__2[[#This Row],[Y (Position in AU)]]^2+horizons_results_fin_use___Copy__2[[#This Row],[Z (Position in AU)]]^2)</f>
        <v>1.0158601561239853</v>
      </c>
    </row>
    <row r="1243" spans="1:5" x14ac:dyDescent="0.3">
      <c r="A1243" s="1">
        <f t="shared" si="19"/>
        <v>1242</v>
      </c>
      <c r="B1243" s="1">
        <v>-7.6199504432852574E-2</v>
      </c>
      <c r="C1243" s="1">
        <v>-0.92951133022428556</v>
      </c>
      <c r="D1243" s="1">
        <v>-0.40291522430444221</v>
      </c>
      <c r="E1243" s="2">
        <f>SQRT(horizons_results_fin_use___Copy__2[[#This Row],[X (Position in AU)]]^2+horizons_results_fin_use___Copy__2[[#This Row],[Y (Position in AU)]]^2+horizons_results_fin_use___Copy__2[[#This Row],[Z (Position in AU)]]^2)</f>
        <v>1.0159421024189479</v>
      </c>
    </row>
    <row r="1244" spans="1:5" x14ac:dyDescent="0.3">
      <c r="A1244" s="1">
        <f t="shared" si="19"/>
        <v>1243</v>
      </c>
      <c r="B1244" s="1">
        <v>-5.9310368456912038E-2</v>
      </c>
      <c r="C1244" s="1">
        <v>-0.93061763349615989</v>
      </c>
      <c r="D1244" s="1">
        <v>-0.40339449792907778</v>
      </c>
      <c r="E1244" s="2">
        <f>SQRT(horizons_results_fin_use___Copy__2[[#This Row],[X (Position in AU)]]^2+horizons_results_fin_use___Copy__2[[#This Row],[Y (Position in AU)]]^2+horizons_results_fin_use___Copy__2[[#This Row],[Z (Position in AU)]]^2)</f>
        <v>1.0160187107233509</v>
      </c>
    </row>
    <row r="1245" spans="1:5" x14ac:dyDescent="0.3">
      <c r="A1245" s="1">
        <f t="shared" si="19"/>
        <v>1244</v>
      </c>
      <c r="B1245" s="1">
        <v>-4.2406107252135228E-2</v>
      </c>
      <c r="C1245" s="1">
        <v>-0.93146073582657662</v>
      </c>
      <c r="D1245" s="1">
        <v>-0.40375983836576201</v>
      </c>
      <c r="E1245" s="2">
        <f>SQRT(horizons_results_fin_use___Copy__2[[#This Row],[X (Position in AU)]]^2+horizons_results_fin_use___Copy__2[[#This Row],[Y (Position in AU)]]^2+horizons_results_fin_use___Copy__2[[#This Row],[Z (Position in AU)]]^2)</f>
        <v>1.016090245694748</v>
      </c>
    </row>
    <row r="1246" spans="1:5" x14ac:dyDescent="0.3">
      <c r="A1246" s="1">
        <f t="shared" si="19"/>
        <v>1245</v>
      </c>
      <c r="B1246" s="1">
        <v>-2.549162282259277E-2</v>
      </c>
      <c r="C1246" s="1">
        <v>-0.93204081910733605</v>
      </c>
      <c r="D1246" s="1">
        <v>-0.40401134063322391</v>
      </c>
      <c r="E1246" s="2">
        <f>SQRT(horizons_results_fin_use___Copy__2[[#This Row],[X (Position in AU)]]^2+horizons_results_fin_use___Copy__2[[#This Row],[Y (Position in AU)]]^2+horizons_results_fin_use___Copy__2[[#This Row],[Z (Position in AU)]]^2)</f>
        <v>1.0161570128069077</v>
      </c>
    </row>
    <row r="1247" spans="1:5" x14ac:dyDescent="0.3">
      <c r="A1247" s="1">
        <f t="shared" si="19"/>
        <v>1246</v>
      </c>
      <c r="B1247" s="1">
        <v>-8.5717138430338215E-3</v>
      </c>
      <c r="C1247" s="1">
        <v>-0.93235816782353054</v>
      </c>
      <c r="D1247" s="1">
        <v>-0.40414913395430008</v>
      </c>
      <c r="E1247" s="2">
        <f>SQRT(horizons_results_fin_use___Copy__2[[#This Row],[X (Position in AU)]]^2+horizons_results_fin_use___Copy__2[[#This Row],[Y (Position in AU)]]^2+horizons_results_fin_use___Copy__2[[#This Row],[Z (Position in AU)]]^2)</f>
        <v>1.0162193414128016</v>
      </c>
    </row>
    <row r="1248" spans="1:5" x14ac:dyDescent="0.3">
      <c r="A1248" s="1">
        <f t="shared" si="19"/>
        <v>1247</v>
      </c>
      <c r="B1248" s="1">
        <v>8.3489349068042468E-3</v>
      </c>
      <c r="C1248" s="1">
        <v>-0.93241314268930009</v>
      </c>
      <c r="D1248" s="1">
        <v>-0.40417336915522151</v>
      </c>
      <c r="E1248" s="2">
        <f>SQRT(horizons_results_fin_use___Copy__2[[#This Row],[X (Position in AU)]]^2+horizons_results_fin_use___Copy__2[[#This Row],[Y (Position in AU)]]^2+horizons_results_fin_use___Copy__2[[#This Row],[Z (Position in AU)]]^2)</f>
        <v>1.0162775633202272</v>
      </c>
    </row>
    <row r="1249" spans="1:5" x14ac:dyDescent="0.3">
      <c r="A1249" s="1">
        <f t="shared" si="19"/>
        <v>1248</v>
      </c>
      <c r="B1249" s="1">
        <v>2.5265753932656222E-2</v>
      </c>
      <c r="C1249" s="1">
        <v>-0.93220615014270602</v>
      </c>
      <c r="D1249" s="1">
        <v>-0.4040842051629831</v>
      </c>
      <c r="E1249" s="2">
        <f>SQRT(horizons_results_fin_use___Copy__2[[#This Row],[X (Position in AU)]]^2+horizons_results_fin_use___Copy__2[[#This Row],[Y (Position in AU)]]^2+horizons_results_fin_use___Copy__2[[#This Row],[Z (Position in AU)]]^2)</f>
        <v>1.0163319878602024</v>
      </c>
    </row>
    <row r="1250" spans="1:5" x14ac:dyDescent="0.3">
      <c r="A1250" s="1">
        <f t="shared" si="19"/>
        <v>1249</v>
      </c>
      <c r="B1250" s="1">
        <v>4.2174278783247088E-2</v>
      </c>
      <c r="C1250" s="1">
        <v>-0.93173761077546313</v>
      </c>
      <c r="D1250" s="1">
        <v>-0.40388179620759268</v>
      </c>
      <c r="E1250" s="2">
        <f>SQRT(horizons_results_fin_use___Copy__2[[#This Row],[X (Position in AU)]]^2+horizons_results_fin_use___Copy__2[[#This Row],[Y (Position in AU)]]^2+horizons_results_fin_use___Copy__2[[#This Row],[Z (Position in AU)]]^2)</f>
        <v>1.0163828759047089</v>
      </c>
    </row>
    <row r="1251" spans="1:5" x14ac:dyDescent="0.3">
      <c r="A1251" s="1">
        <f t="shared" si="19"/>
        <v>1250</v>
      </c>
      <c r="B1251" s="1">
        <v>5.9070127468912069E-2</v>
      </c>
      <c r="C1251" s="1">
        <v>-0.93100793145095007</v>
      </c>
      <c r="D1251" s="1">
        <v>-0.40356628190012178</v>
      </c>
      <c r="E1251" s="2">
        <f>SQRT(horizons_results_fin_use___Copy__2[[#This Row],[X (Position in AU)]]^2+horizons_results_fin_use___Copy__2[[#This Row],[Y (Position in AU)]]^2+horizons_results_fin_use___Copy__2[[#This Row],[Z (Position in AU)]]^2)</f>
        <v>1.0164304168365186</v>
      </c>
    </row>
    <row r="1252" spans="1:5" x14ac:dyDescent="0.3">
      <c r="A1252" s="1">
        <f t="shared" si="19"/>
        <v>1251</v>
      </c>
      <c r="B1252" s="1">
        <v>7.5948967910680787E-2</v>
      </c>
      <c r="C1252" s="1">
        <v>-0.93001748641160098</v>
      </c>
      <c r="D1252" s="1">
        <v>-0.40313778228897451</v>
      </c>
      <c r="E1252" s="2">
        <f>SQRT(horizons_results_fin_use___Copy__2[[#This Row],[X (Position in AU)]]^2+horizons_results_fin_use___Copy__2[[#This Row],[Y (Position in AU)]]^2+horizons_results_fin_use___Copy__2[[#This Row],[Z (Position in AU)]]^2)</f>
        <v>1.0164747130484471</v>
      </c>
    </row>
    <row r="1253" spans="1:5" x14ac:dyDescent="0.3">
      <c r="A1253" s="1">
        <f t="shared" si="19"/>
        <v>1252</v>
      </c>
      <c r="B1253" s="1">
        <v>9.2806480963031873E-2</v>
      </c>
      <c r="C1253" s="1">
        <v>-0.92876661117453507</v>
      </c>
      <c r="D1253" s="1">
        <v>-0.40259639901288791</v>
      </c>
      <c r="E1253" s="2">
        <f>SQRT(horizons_results_fin_use___Copy__2[[#This Row],[X (Position in AU)]]^2+horizons_results_fin_use___Copy__2[[#This Row],[Y (Position in AU)]]^2+horizons_results_fin_use___Copy__2[[#This Row],[Z (Position in AU)]]^2)</f>
        <v>1.0165157753028313</v>
      </c>
    </row>
    <row r="1254" spans="1:5" x14ac:dyDescent="0.3">
      <c r="A1254" s="1">
        <f t="shared" si="19"/>
        <v>1253</v>
      </c>
      <c r="B1254" s="1">
        <v>0.1096383260493428</v>
      </c>
      <c r="C1254" s="1">
        <v>-0.92725560970765009</v>
      </c>
      <c r="D1254" s="1">
        <v>-0.40194222205752228</v>
      </c>
      <c r="E1254" s="2">
        <f>SQRT(horizons_results_fin_use___Copy__2[[#This Row],[X (Position in AU)]]^2+horizons_results_fin_use___Copy__2[[#This Row],[Y (Position in AU)]]^2+horizons_results_fin_use___Copy__2[[#This Row],[Z (Position in AU)]]^2)</f>
        <v>1.0165535294049923</v>
      </c>
    </row>
    <row r="1255" spans="1:5" x14ac:dyDescent="0.3">
      <c r="A1255" s="1">
        <f t="shared" si="19"/>
        <v>1254</v>
      </c>
      <c r="B1255" s="1">
        <v>0.12644011528174981</v>
      </c>
      <c r="C1255" s="1">
        <v>-0.92548477179690991</v>
      </c>
      <c r="D1255" s="1">
        <v>-0.40117534015811951</v>
      </c>
      <c r="E1255" s="2">
        <f>SQRT(horizons_results_fin_use___Copy__2[[#This Row],[X (Position in AU)]]^2+horizons_results_fin_use___Copy__2[[#This Row],[Y (Position in AU)]]^2+horizons_results_fin_use___Copy__2[[#This Row],[Z (Position in AU)]]^2)</f>
        <v>1.0165878314889587</v>
      </c>
    </row>
    <row r="1256" spans="1:5" x14ac:dyDescent="0.3">
      <c r="A1256" s="1">
        <f t="shared" si="19"/>
        <v>1255</v>
      </c>
      <c r="B1256" s="1">
        <v>0.14320739876277591</v>
      </c>
      <c r="C1256" s="1">
        <v>-0.9234543954127139</v>
      </c>
      <c r="D1256" s="1">
        <v>-0.40029585228200798</v>
      </c>
      <c r="E1256" s="2">
        <f>SQRT(horizons_results_fin_use___Copy__2[[#This Row],[X (Position in AU)]]^2+horizons_results_fin_use___Copy__2[[#This Row],[Y (Position in AU)]]^2+horizons_results_fin_use___Copy__2[[#This Row],[Z (Position in AU)]]^2)</f>
        <v>1.0166184873499207</v>
      </c>
    </row>
    <row r="1257" spans="1:5" x14ac:dyDescent="0.3">
      <c r="A1257" s="1">
        <f t="shared" si="19"/>
        <v>1256</v>
      </c>
      <c r="B1257" s="1">
        <v>0.15993566032320811</v>
      </c>
      <c r="C1257" s="1">
        <v>-0.9211648089687593</v>
      </c>
      <c r="D1257" s="1">
        <v>-0.39930387800986039</v>
      </c>
      <c r="E1257" s="2">
        <f>SQRT(horizons_results_fin_use___Copy__2[[#This Row],[X (Position in AU)]]^2+horizons_results_fin_use___Copy__2[[#This Row],[Y (Position in AU)]]^2+horizons_results_fin_use___Copy__2[[#This Row],[Z (Position in AU)]]^2)</f>
        <v>1.0166452713307552</v>
      </c>
    </row>
    <row r="1258" spans="1:5" x14ac:dyDescent="0.3">
      <c r="A1258" s="1">
        <f t="shared" si="19"/>
        <v>1257</v>
      </c>
      <c r="B1258" s="1">
        <v>0.17662032071863551</v>
      </c>
      <c r="C1258" s="1">
        <v>-0.91861639004033624</v>
      </c>
      <c r="D1258" s="1">
        <v>-0.39819956559910058</v>
      </c>
      <c r="E1258" s="2">
        <f>SQRT(horizons_results_fin_use___Copy__2[[#This Row],[X (Position in AU)]]^2+horizons_results_fin_use___Copy__2[[#This Row],[Y (Position in AU)]]^2+horizons_results_fin_use___Copy__2[[#This Row],[Z (Position in AU)]]^2)</f>
        <v>1.0166679417512905</v>
      </c>
    </row>
    <row r="1259" spans="1:5" x14ac:dyDescent="0.3">
      <c r="A1259" s="1">
        <f t="shared" si="19"/>
        <v>1258</v>
      </c>
      <c r="B1259" s="1">
        <v>0.19325674470426091</v>
      </c>
      <c r="C1259" s="1">
        <v>-0.91580957921329298</v>
      </c>
      <c r="D1259" s="1">
        <v>-0.39698309750331878</v>
      </c>
      <c r="E1259" s="2">
        <f>SQRT(horizons_results_fin_use___Copy__2[[#This Row],[X (Position in AU)]]^2+horizons_results_fin_use___Copy__2[[#This Row],[Y (Position in AU)]]^2+horizons_results_fin_use___Copy__2[[#This Row],[Z (Position in AU)]]^2)</f>
        <v>1.0166862517295325</v>
      </c>
    </row>
    <row r="1260" spans="1:5" x14ac:dyDescent="0.3">
      <c r="A1260" s="1">
        <f t="shared" si="19"/>
        <v>1259</v>
      </c>
      <c r="B1260" s="1">
        <v>0.20984024898415701</v>
      </c>
      <c r="C1260" s="1">
        <v>-0.91274488940202481</v>
      </c>
      <c r="D1260" s="1">
        <v>-0.39565469379988971</v>
      </c>
      <c r="E1260" s="2">
        <f>SQRT(horizons_results_fin_use___Copy__2[[#This Row],[X (Position in AU)]]^2+horizons_results_fin_use___Copy__2[[#This Row],[Y (Position in AU)]]^2+horizons_results_fin_use___Copy__2[[#This Row],[Z (Position in AU)]]^2)</f>
        <v>1.016699955714139</v>
      </c>
    </row>
    <row r="1261" spans="1:5" x14ac:dyDescent="0.3">
      <c r="A1261" s="1">
        <f t="shared" si="19"/>
        <v>1260</v>
      </c>
      <c r="B1261" s="1">
        <v>0.22636610909903951</v>
      </c>
      <c r="C1261" s="1">
        <v>-0.90942291191853486</v>
      </c>
      <c r="D1261" s="1">
        <v>-0.39421461428721671</v>
      </c>
      <c r="E1261" s="2">
        <f>SQRT(horizons_results_fin_use___Copy__2[[#This Row],[X (Position in AU)]]^2+horizons_results_fin_use___Copy__2[[#This Row],[Y (Position in AU)]]^2+horizons_results_fin_use___Copy__2[[#This Row],[Z (Position in AU)]]^2)</f>
        <v>1.0167088128803865</v>
      </c>
    </row>
    <row r="1262" spans="1:5" x14ac:dyDescent="0.3">
      <c r="A1262" s="1">
        <f t="shared" si="19"/>
        <v>1261</v>
      </c>
      <c r="B1262" s="1">
        <v>0.2428295643914766</v>
      </c>
      <c r="C1262" s="1">
        <v>-0.90584432091204925</v>
      </c>
      <c r="D1262" s="1">
        <v>-0.39266316005368329</v>
      </c>
      <c r="E1262" s="2">
        <f>SQRT(horizons_results_fin_use___Copy__2[[#This Row],[X (Position in AU)]]^2+horizons_results_fin_use___Copy__2[[#This Row],[Y (Position in AU)]]^2+horizons_results_fin_use___Copy__2[[#This Row],[Z (Position in AU)]]^2)</f>
        <v>1.0167125888541513</v>
      </c>
    </row>
    <row r="1263" spans="1:5" x14ac:dyDescent="0.3">
      <c r="A1263" s="1">
        <f t="shared" si="19"/>
        <v>1262</v>
      </c>
      <c r="B1263" s="1">
        <v>0.25922582108020559</v>
      </c>
      <c r="C1263" s="1">
        <v>-0.90200987776066277</v>
      </c>
      <c r="D1263" s="1">
        <v>-0.39100067521366871</v>
      </c>
      <c r="E1263" s="2">
        <f>SQRT(horizons_results_fin_use___Copy__2[[#This Row],[X (Position in AU)]]^2+horizons_results_fin_use___Copy__2[[#This Row],[Y (Position in AU)]]^2+horizons_results_fin_use___Copy__2[[#This Row],[Z (Position in AU)]]^2)</f>
        <v>1.0167110572380225</v>
      </c>
    </row>
    <row r="1264" spans="1:5" x14ac:dyDescent="0.3">
      <c r="A1264" s="1">
        <f t="shared" si="19"/>
        <v>1263</v>
      </c>
      <c r="B1264" s="1">
        <v>0.27555005418757572</v>
      </c>
      <c r="C1264" s="1">
        <v>-0.89792043674841282</v>
      </c>
      <c r="D1264" s="1">
        <v>-0.38922754932466253</v>
      </c>
      <c r="E1264" s="2">
        <f>SQRT(horizons_results_fin_use___Copy__2[[#This Row],[X (Position in AU)]]^2+horizons_results_fin_use___Copy__2[[#This Row],[Y (Position in AU)]]^2+horizons_results_fin_use___Copy__2[[#This Row],[Z (Position in AU)]]^2)</f>
        <v>1.0167040022772207</v>
      </c>
    </row>
    <row r="1265" spans="1:5" x14ac:dyDescent="0.3">
      <c r="A1265" s="1">
        <f t="shared" si="19"/>
        <v>1264</v>
      </c>
      <c r="B1265" s="1">
        <v>0.29179740964613071</v>
      </c>
      <c r="C1265" s="1">
        <v>-0.89357695295057316</v>
      </c>
      <c r="D1265" s="1">
        <v>-0.38734422075972541</v>
      </c>
      <c r="E1265" s="2">
        <f>SQRT(horizons_results_fin_use___Copy__2[[#This Row],[X (Position in AU)]]^2+horizons_results_fin_use___Copy__2[[#This Row],[Y (Position in AU)]]^2+horizons_results_fin_use___Copy__2[[#This Row],[Z (Position in AU)]]^2)</f>
        <v>1.0166912237629384</v>
      </c>
    </row>
    <row r="1266" spans="1:5" x14ac:dyDescent="0.3">
      <c r="A1266" s="1">
        <f t="shared" si="19"/>
        <v>1265</v>
      </c>
      <c r="B1266" s="1">
        <v>0.30796300835396018</v>
      </c>
      <c r="C1266" s="1">
        <v>-0.88898049264084456</v>
      </c>
      <c r="D1266" s="1">
        <v>-0.38535118099614252</v>
      </c>
      <c r="E1266" s="2">
        <f>SQRT(horizons_results_fin_use___Copy__2[[#This Row],[X (Position in AU)]]^2+horizons_results_fin_use___Copy__2[[#This Row],[Y (Position in AU)]]^2+horizons_results_fin_use___Copy__2[[#This Row],[Z (Position in AU)]]^2)</f>
        <v>1.0166725448764229</v>
      </c>
    </row>
    <row r="1267" spans="1:5" x14ac:dyDescent="0.3">
      <c r="A1267" s="1">
        <f t="shared" si="19"/>
        <v>1266</v>
      </c>
      <c r="B1267" s="1">
        <v>0.32404195413448739</v>
      </c>
      <c r="C1267" s="1">
        <v>-0.88413224568635085</v>
      </c>
      <c r="D1267" s="1">
        <v>-0.38324897938842262</v>
      </c>
      <c r="E1267" s="2">
        <f>SQRT(horizons_results_fin_use___Copy__2[[#This Row],[X (Position in AU)]]^2+horizons_results_fin_use___Copy__2[[#This Row],[Y (Position in AU)]]^2+horizons_results_fin_use___Copy__2[[#This Row],[Z (Position in AU)]]^2)</f>
        <v>1.0166478230458937</v>
      </c>
    </row>
    <row r="1268" spans="1:5" x14ac:dyDescent="0.3">
      <c r="A1268" s="1">
        <f t="shared" si="19"/>
        <v>1267</v>
      </c>
      <c r="B1268" s="1">
        <v>0.34002934727525508</v>
      </c>
      <c r="C1268" s="1">
        <v>-0.87903353837229181</v>
      </c>
      <c r="D1268" s="1">
        <v>-0.38103822757031591</v>
      </c>
      <c r="E1268" s="2">
        <f>SQRT(horizons_results_fin_use___Copy__2[[#This Row],[X (Position in AU)]]^2+horizons_results_fin_use___Copy__2[[#This Row],[Y (Position in AU)]]^2+horizons_results_fin_use___Copy__2[[#This Row],[Z (Position in AU)]]^2)</f>
        <v>1.016616963001147</v>
      </c>
    </row>
    <row r="1269" spans="1:5" x14ac:dyDescent="0.3">
      <c r="A1269" s="1">
        <f t="shared" si="19"/>
        <v>1268</v>
      </c>
      <c r="B1269" s="1">
        <v>0.35592030439140782</v>
      </c>
      <c r="C1269" s="1">
        <v>-0.87368584414797468</v>
      </c>
      <c r="D1269" s="1">
        <v>-0.37871960230482749</v>
      </c>
      <c r="E1269" s="2">
        <f>SQRT(horizons_results_fin_use___Copy__2[[#This Row],[X (Position in AU)]]^2+horizons_results_fin_use___Copy__2[[#This Row],[Y (Position in AU)]]^2+horizons_results_fin_use___Copy__2[[#This Row],[Z (Position in AU)]]^2)</f>
        <v>1.0165799302133396</v>
      </c>
    </row>
    <row r="1270" spans="1:5" x14ac:dyDescent="0.3">
      <c r="A1270" s="1">
        <f t="shared" si="19"/>
        <v>1269</v>
      </c>
      <c r="B1270" s="1">
        <v>0.37170998382761761</v>
      </c>
      <c r="C1270" s="1">
        <v>-0.86809078932527806</v>
      </c>
      <c r="D1270" s="1">
        <v>-0.3762938455520411</v>
      </c>
      <c r="E1270" s="2">
        <f>SQRT(horizons_results_fin_use___Copy__2[[#This Row],[X (Position in AU)]]^2+horizons_results_fin_use___Copy__2[[#This Row],[Y (Position in AU)]]^2+horizons_results_fin_use___Copy__2[[#This Row],[Z (Position in AU)]]^2)</f>
        <v>1.016536762143335</v>
      </c>
    </row>
    <row r="1271" spans="1:5" x14ac:dyDescent="0.3">
      <c r="A1271" s="1">
        <f t="shared" si="19"/>
        <v>1270</v>
      </c>
      <c r="B1271" s="1">
        <v>0.38739361408977752</v>
      </c>
      <c r="C1271" s="1">
        <v>-0.86225015117065651</v>
      </c>
      <c r="D1271" s="1">
        <v>-0.37376176087866358</v>
      </c>
      <c r="E1271" s="2">
        <f>SQRT(horizons_results_fin_use___Copy__2[[#This Row],[X (Position in AU)]]^2+horizons_results_fin_use___Copy__2[[#This Row],[Y (Position in AU)]]^2+horizons_results_fin_use___Copy__2[[#This Row],[Z (Position in AU)]]^2)</f>
        <v>1.0164875746050608</v>
      </c>
    </row>
    <row r="1272" spans="1:5" x14ac:dyDescent="0.3">
      <c r="A1272" s="1">
        <f t="shared" si="19"/>
        <v>1271</v>
      </c>
      <c r="B1272" s="1">
        <v>0.40296652156498719</v>
      </c>
      <c r="C1272" s="1">
        <v>-0.85616584715773114</v>
      </c>
      <c r="D1272" s="1">
        <v>-0.37112420604203922</v>
      </c>
      <c r="E1272" s="2">
        <f>SQRT(horizons_results_fin_use___Copy__2[[#This Row],[X (Position in AU)]]^2+horizons_results_fin_use___Copy__2[[#This Row],[Y (Position in AU)]]^2+horizons_results_fin_use___Copy__2[[#This Row],[Z (Position in AU)]]^2)</f>
        <v>1.0164325612906322</v>
      </c>
    </row>
    <row r="1273" spans="1:5" x14ac:dyDescent="0.3">
      <c r="A1273" s="1">
        <f t="shared" si="19"/>
        <v>1272</v>
      </c>
      <c r="B1273" s="1">
        <v>0.41842415360728108</v>
      </c>
      <c r="C1273" s="1">
        <v>-0.84983991594556418</v>
      </c>
      <c r="D1273" s="1">
        <v>-0.36838208239267822</v>
      </c>
      <c r="E1273" s="2">
        <f>SQRT(horizons_results_fin_use___Copy__2[[#This Row],[X (Position in AU)]]^2+horizons_results_fin_use___Copy__2[[#This Row],[Y (Position in AU)]]^2+horizons_results_fin_use___Copy__2[[#This Row],[Z (Position in AU)]]^2)</f>
        <v>1.0163719858813007</v>
      </c>
    </row>
    <row r="1274" spans="1:5" x14ac:dyDescent="0.3">
      <c r="A1274" s="1">
        <f t="shared" si="19"/>
        <v>1273</v>
      </c>
      <c r="B1274" s="1">
        <v>0.43376209397628113</v>
      </c>
      <c r="C1274" s="1">
        <v>-0.8432744921980857</v>
      </c>
      <c r="D1274" s="1">
        <v>-0.36553632233156991</v>
      </c>
      <c r="E1274" s="2">
        <f>SQRT(horizons_results_fin_use___Copy__2[[#This Row],[X (Position in AU)]]^2+horizons_results_fin_use___Copy__2[[#This Row],[Y (Position in AU)]]^2+horizons_results_fin_use___Copy__2[[#This Row],[Z (Position in AU)]]^2)</f>
        <v>1.0163061676022225</v>
      </c>
    </row>
    <row r="1275" spans="1:5" x14ac:dyDescent="0.3">
      <c r="A1275" s="1">
        <f t="shared" si="19"/>
        <v>1274</v>
      </c>
      <c r="B1275" s="1">
        <v>0.44897606909054422</v>
      </c>
      <c r="C1275" s="1">
        <v>-0.83647177813488693</v>
      </c>
      <c r="D1275" s="1">
        <v>-0.36258787625167582</v>
      </c>
      <c r="E1275" s="2">
        <f>SQRT(horizons_results_fin_use___Copy__2[[#This Row],[X (Position in AU)]]^2+horizons_results_fin_use___Copy__2[[#This Row],[Y (Position in AU)]]^2+horizons_results_fin_use___Copy__2[[#This Row],[Z (Position in AU)]]^2)</f>
        <v>1.0162354620051581</v>
      </c>
    </row>
    <row r="1276" spans="1:5" x14ac:dyDescent="0.3">
      <c r="A1276" s="1">
        <f t="shared" si="19"/>
        <v>1275</v>
      </c>
      <c r="B1276" s="1">
        <v>0.46406194490418962</v>
      </c>
      <c r="C1276" s="1">
        <v>-0.82943401469207456</v>
      </c>
      <c r="D1276" s="1">
        <v>-0.35953770025198128</v>
      </c>
      <c r="E1276" s="2">
        <f>SQRT(horizons_results_fin_use___Copy__2[[#This Row],[X (Position in AU)]]^2+horizons_results_fin_use___Copy__2[[#This Row],[Y (Position in AU)]]^2+horizons_results_fin_use___Copy__2[[#This Row],[Z (Position in AU)]]^2)</f>
        <v>1.0161602390070943</v>
      </c>
    </row>
    <row r="1277" spans="1:5" x14ac:dyDescent="0.3">
      <c r="A1277" s="1">
        <f t="shared" si="19"/>
        <v>1276</v>
      </c>
      <c r="B1277" s="1">
        <v>0.47901571506566648</v>
      </c>
      <c r="C1277" s="1">
        <v>-0.82216345478452246</v>
      </c>
      <c r="D1277" s="1">
        <v>-0.35638674565557488</v>
      </c>
      <c r="E1277" s="2">
        <f>SQRT(horizons_results_fin_use___Copy__2[[#This Row],[X (Position in AU)]]^2+horizons_results_fin_use___Copy__2[[#This Row],[Y (Position in AU)]]^2+horizons_results_fin_use___Copy__2[[#This Row],[Z (Position in AU)]]^2)</f>
        <v>1.0160808600411999</v>
      </c>
    </row>
    <row r="1278" spans="1:5" x14ac:dyDescent="0.3">
      <c r="A1278" s="1">
        <f t="shared" si="19"/>
        <v>1277</v>
      </c>
      <c r="B1278" s="1">
        <v>0.49383348149944217</v>
      </c>
      <c r="C1278" s="1">
        <v>-0.81466234082971301</v>
      </c>
      <c r="D1278" s="1">
        <v>-0.35313595116827962</v>
      </c>
      <c r="E1278" s="2">
        <f>SQRT(horizons_results_fin_use___Copy__2[[#This Row],[X (Position in AU)]]^2+horizons_results_fin_use___Copy__2[[#This Row],[Y (Position in AU)]]^2+horizons_results_fin_use___Copy__2[[#This Row],[Z (Position in AU)]]^2)</f>
        <v>1.0159976560128143</v>
      </c>
    </row>
    <row r="1279" spans="1:5" x14ac:dyDescent="0.3">
      <c r="A1279" s="1">
        <f t="shared" si="19"/>
        <v>1278</v>
      </c>
      <c r="B1279" s="1">
        <v>0.50851142905537494</v>
      </c>
      <c r="C1279" s="1">
        <v>-0.80693288852310319</v>
      </c>
      <c r="D1279" s="1">
        <v>-0.34978623838852141</v>
      </c>
      <c r="E1279" s="2">
        <f>SQRT(horizons_results_fin_use___Copy__2[[#This Row],[X (Position in AU)]]^2+horizons_results_fin_use___Copy__2[[#This Row],[Y (Position in AU)]]^2+horizons_results_fin_use___Copy__2[[#This Row],[Z (Position in AU)]]^2)</f>
        <v>1.0159109078192683</v>
      </c>
    </row>
    <row r="1280" spans="1:5" x14ac:dyDescent="0.3">
      <c r="A1280" s="1">
        <f t="shared" si="19"/>
        <v>1279</v>
      </c>
      <c r="B1280" s="1">
        <v>0.52304579663605544</v>
      </c>
      <c r="C1280" s="1">
        <v>-0.79897727857516287</v>
      </c>
      <c r="D1280" s="1">
        <v>-0.34633851117914061</v>
      </c>
      <c r="E1280" s="2">
        <f>SQRT(horizons_results_fin_use___Copy__2[[#This Row],[X (Position in AU)]]^2+horizons_results_fin_use___Copy__2[[#This Row],[Y (Position in AU)]]^2+horizons_results_fin_use___Copy__2[[#This Row],[Z (Position in AU)]]^2)</f>
        <v>1.015820831339761</v>
      </c>
    </row>
    <row r="1281" spans="1:5" x14ac:dyDescent="0.3">
      <c r="A1281" s="1">
        <f t="shared" si="19"/>
        <v>1280</v>
      </c>
      <c r="B1281" s="1">
        <v>0.53743284805476865</v>
      </c>
      <c r="C1281" s="1">
        <v>-0.79079765735554997</v>
      </c>
      <c r="D1281" s="1">
        <v>-0.3427936589906872</v>
      </c>
      <c r="E1281" s="2">
        <f>SQRT(horizons_results_fin_use___Copy__2[[#This Row],[X (Position in AU)]]^2+horizons_results_fin_use___Copy__2[[#This Row],[Y (Position in AU)]]^2+horizons_results_fin_use___Copy__2[[#This Row],[Z (Position in AU)]]^2)</f>
        <v>1.0157275686381213</v>
      </c>
    </row>
    <row r="1282" spans="1:5" x14ac:dyDescent="0.3">
      <c r="A1282" s="1">
        <f t="shared" si="19"/>
        <v>1281</v>
      </c>
      <c r="B1282" s="1">
        <v>0.55166884626686452</v>
      </c>
      <c r="C1282" s="1">
        <v>-0.78239614604101815</v>
      </c>
      <c r="D1282" s="1">
        <v>-0.33915256359248652</v>
      </c>
      <c r="E1282" s="2">
        <f>SQRT(horizons_results_fin_use___Copy__2[[#This Row],[X (Position in AU)]]^2+horizons_results_fin_use___Copy__2[[#This Row],[Y (Position in AU)]]^2+horizons_results_fin_use___Copy__2[[#This Row],[Z (Position in AU)]]^2)</f>
        <v>1.0156311863430578</v>
      </c>
    </row>
    <row r="1283" spans="1:5" x14ac:dyDescent="0.3">
      <c r="A1283" s="1">
        <f t="shared" si="19"/>
        <v>1282</v>
      </c>
      <c r="B1283" s="1">
        <v>0.56575003408271685</v>
      </c>
      <c r="C1283" s="1">
        <v>-0.77377485630014931</v>
      </c>
      <c r="D1283" s="1">
        <v>-0.33541610803252792</v>
      </c>
      <c r="E1283" s="2">
        <f>SQRT(horizons_results_fin_use___Copy__2[[#This Row],[X (Position in AU)]]^2+horizons_results_fin_use___Copy__2[[#This Row],[Y (Position in AU)]]^2+horizons_results_fin_use___Copy__2[[#This Row],[Z (Position in AU)]]^2)</f>
        <v>1.0155316808620991</v>
      </c>
    </row>
    <row r="1284" spans="1:5" x14ac:dyDescent="0.3">
      <c r="A1284" s="1">
        <f t="shared" ref="A1284:A1347" si="20">A1283+1</f>
        <v>1283</v>
      </c>
      <c r="B1284" s="1">
        <v>0.57967262300969236</v>
      </c>
      <c r="C1284" s="1">
        <v>-0.76493590941771017</v>
      </c>
      <c r="D1284" s="1">
        <v>-0.3315851862956446</v>
      </c>
      <c r="E1284" s="2">
        <f>SQRT(horizons_results_fin_use___Copy__2[[#This Row],[X (Position in AU)]]^2+horizons_results_fin_use___Copy__2[[#This Row],[Y (Position in AU)]]^2+horizons_results_fin_use___Copy__2[[#This Row],[Z (Position in AU)]]^2)</f>
        <v>1.015428988730553</v>
      </c>
    </row>
    <row r="1285" spans="1:5" x14ac:dyDescent="0.3">
      <c r="A1285" s="1">
        <f t="shared" si="20"/>
        <v>1284</v>
      </c>
      <c r="B1285" s="1">
        <v>0.59343279001573801</v>
      </c>
      <c r="C1285" s="1">
        <v>-0.75588145555018615</v>
      </c>
      <c r="D1285" s="1">
        <v>-0.32766071222231191</v>
      </c>
      <c r="E1285" s="2">
        <f>SQRT(horizons_results_fin_use___Copy__2[[#This Row],[X (Position in AU)]]^2+horizons_results_fin_use___Copy__2[[#This Row],[Y (Position in AU)]]^2+horizons_results_fin_use___Copy__2[[#This Row],[Z (Position in AU)]]^2)</f>
        <v>1.0153229995644557</v>
      </c>
    </row>
    <row r="1286" spans="1:5" x14ac:dyDescent="0.3">
      <c r="A1286" s="1">
        <f t="shared" si="20"/>
        <v>1285</v>
      </c>
      <c r="B1286" s="1">
        <v>0.60702668047452157</v>
      </c>
      <c r="C1286" s="1">
        <v>-0.74661369052094628</v>
      </c>
      <c r="D1286" s="1">
        <v>-0.32364362671997859</v>
      </c>
      <c r="E1286" s="2">
        <f>SQRT(horizons_results_fin_use___Copy__2[[#This Row],[X (Position in AU)]]^2+horizons_results_fin_use___Copy__2[[#This Row],[Y (Position in AU)]]^2+horizons_results_fin_use___Copy__2[[#This Row],[Z (Position in AU)]]^2)</f>
        <v>1.0152135690571147</v>
      </c>
    </row>
    <row r="1287" spans="1:5" x14ac:dyDescent="0.3">
      <c r="A1287" s="1">
        <f t="shared" si="20"/>
        <v>1286</v>
      </c>
      <c r="B1287" s="1">
        <v>0.62045041480147256</v>
      </c>
      <c r="C1287" s="1">
        <v>-0.7371348687991105</v>
      </c>
      <c r="D1287" s="1">
        <v>-0.31953490291863801</v>
      </c>
      <c r="E1287" s="2">
        <f>SQRT(horizons_results_fin_use___Copy__2[[#This Row],[X (Position in AU)]]^2+horizons_results_fin_use___Copy__2[[#This Row],[Y (Position in AU)]]^2+horizons_results_fin_use___Copy__2[[#This Row],[Z (Position in AU)]]^2)</f>
        <v>1.0151005301003564</v>
      </c>
    </row>
    <row r="1288" spans="1:5" x14ac:dyDescent="0.3">
      <c r="A1288" s="1">
        <f t="shared" si="20"/>
        <v>1287</v>
      </c>
      <c r="B1288" s="1">
        <v>0.63370009634677993</v>
      </c>
      <c r="C1288" s="1">
        <v>-0.72744731254904416</v>
      </c>
      <c r="D1288" s="1">
        <v>-0.31533554946441228</v>
      </c>
      <c r="E1288" s="2">
        <f>SQRT(horizons_results_fin_use___Copy__2[[#This Row],[X (Position in AU)]]^2+horizons_results_fin_use___Copy__2[[#This Row],[Y (Position in AU)]]^2+horizons_results_fin_use___Copy__2[[#This Row],[Z (Position in AU)]]^2)</f>
        <v>1.0149837010517793</v>
      </c>
    </row>
    <row r="1289" spans="1:5" x14ac:dyDescent="0.3">
      <c r="A1289" s="1">
        <f t="shared" si="20"/>
        <v>1288</v>
      </c>
      <c r="B1289" s="1">
        <v>0.64677181870194922</v>
      </c>
      <c r="C1289" s="1">
        <v>-0.71755341755299429</v>
      </c>
      <c r="D1289" s="1">
        <v>-0.31104661248924498</v>
      </c>
      <c r="E1289" s="2">
        <f>SQRT(horizons_results_fin_use___Copy__2[[#This Row],[X (Position in AU)]]^2+horizons_results_fin_use___Copy__2[[#This Row],[Y (Position in AU)]]^2+horizons_results_fin_use___Copy__2[[#This Row],[Z (Position in AU)]]^2)</f>
        <v>1.0148628910596955</v>
      </c>
    </row>
    <row r="1290" spans="1:5" x14ac:dyDescent="0.3">
      <c r="A1290" s="1">
        <f t="shared" si="20"/>
        <v>1289</v>
      </c>
      <c r="B1290" s="1">
        <v>0.6596616713771859</v>
      </c>
      <c r="C1290" s="1">
        <v>-0.70745565731329374</v>
      </c>
      <c r="D1290" s="1">
        <v>-0.30666917693665913</v>
      </c>
      <c r="E1290" s="2">
        <f>SQRT(horizons_results_fin_use___Copy__2[[#This Row],[X (Position in AU)]]^2+horizons_results_fin_use___Copy__2[[#This Row],[Y (Position in AU)]]^2+horizons_results_fin_use___Copy__2[[#This Row],[Z (Position in AU)]]^2)</f>
        <v>1.0147379030231081</v>
      </c>
    </row>
    <row r="1291" spans="1:5" x14ac:dyDescent="0.3">
      <c r="A1291" s="1">
        <f t="shared" si="20"/>
        <v>1290</v>
      </c>
      <c r="B1291" s="1">
        <v>0.67236574360924883</v>
      </c>
      <c r="C1291" s="1">
        <v>-0.69715658680802362</v>
      </c>
      <c r="D1291" s="1">
        <v>-0.30220436791705618</v>
      </c>
      <c r="E1291" s="2">
        <f>SQRT(horizons_results_fin_use___Copy__2[[#This Row],[X (Position in AU)]]^2+horizons_results_fin_use___Copy__2[[#This Row],[Y (Position in AU)]]^2+horizons_results_fin_use___Copy__2[[#This Row],[Z (Position in AU)]]^2)</f>
        <v>1.0146085351982699</v>
      </c>
    </row>
    <row r="1292" spans="1:5" x14ac:dyDescent="0.3">
      <c r="A1292" s="1">
        <f t="shared" si="20"/>
        <v>1291</v>
      </c>
      <c r="B1292" s="1">
        <v>0.68488012679968557</v>
      </c>
      <c r="C1292" s="1">
        <v>-0.6866588473081735</v>
      </c>
      <c r="D1292" s="1">
        <v>-0.29765335266319398</v>
      </c>
      <c r="E1292" s="2">
        <f>SQRT(horizons_results_fin_use___Copy__2[[#This Row],[X (Position in AU)]]^2+horizons_results_fin_use___Copy__2[[#This Row],[Y (Position in AU)]]^2+horizons_results_fin_use___Copy__2[[#This Row],[Z (Position in AU)]]^2)</f>
        <v>1.0144745827389579</v>
      </c>
    </row>
    <row r="1293" spans="1:5" x14ac:dyDescent="0.3">
      <c r="A1293" s="1">
        <f t="shared" si="20"/>
        <v>1292</v>
      </c>
      <c r="B1293" s="1">
        <v>0.69720091678055973</v>
      </c>
      <c r="C1293" s="1">
        <v>-0.67596517340382334</v>
      </c>
      <c r="D1293" s="1">
        <v>-0.29301734347257169</v>
      </c>
      <c r="E1293" s="2">
        <f>SQRT(horizons_results_fin_use___Copy__2[[#This Row],[X (Position in AU)]]^2+horizons_results_fin_use___Copy__2[[#This Row],[Y (Position in AU)]]^2+horizons_results_fin_use___Copy__2[[#This Row],[Z (Position in AU)]]^2)</f>
        <v>1.0143358406318081</v>
      </c>
    </row>
    <row r="1294" spans="1:5" x14ac:dyDescent="0.3">
      <c r="A1294" s="1">
        <f t="shared" si="20"/>
        <v>1293</v>
      </c>
      <c r="B1294" s="1">
        <v>0.70932421776209154</v>
      </c>
      <c r="C1294" s="1">
        <v>-0.6650784028754585</v>
      </c>
      <c r="D1294" s="1">
        <v>-0.28829760173355051</v>
      </c>
      <c r="E1294" s="2">
        <f>SQRT(horizons_results_fin_use___Copy__2[[#This Row],[X (Position in AU)]]^2+horizons_results_fin_use___Copy__2[[#This Row],[Y (Position in AU)]]^2+horizons_results_fin_use___Copy__2[[#This Row],[Z (Position in AU)]]^2)</f>
        <v>1.0141921095337365</v>
      </c>
    </row>
    <row r="1295" spans="1:5" x14ac:dyDescent="0.3">
      <c r="A1295" s="1">
        <f t="shared" si="20"/>
        <v>1294</v>
      </c>
      <c r="B1295" s="1">
        <v>0.72124615031873696</v>
      </c>
      <c r="C1295" s="1">
        <v>-0.65400148916770939</v>
      </c>
      <c r="D1295" s="1">
        <v>-0.28349544269630311</v>
      </c>
      <c r="E1295" s="2">
        <f>SQRT(horizons_results_fin_use___Copy__2[[#This Row],[X (Position in AU)]]^2+horizons_results_fin_use___Copy__2[[#This Row],[Y (Position in AU)]]^2+horizons_results_fin_use___Copy__2[[#This Row],[Z (Position in AU)]]^2)</f>
        <v>1.0140432057919191</v>
      </c>
    </row>
    <row r="1296" spans="1:5" x14ac:dyDescent="0.3">
      <c r="A1296" s="1">
        <f t="shared" si="20"/>
        <v>1295</v>
      </c>
      <c r="B1296" s="1">
        <v>0.73296286581362191</v>
      </c>
      <c r="C1296" s="1">
        <v>-0.64273751491664866</v>
      </c>
      <c r="D1296" s="1">
        <v>-0.27861224007174379</v>
      </c>
      <c r="E1296" s="2">
        <f>SQRT(horizons_results_fin_use___Copy__2[[#This Row],[X (Position in AU)]]^2+horizons_results_fin_use___Copy__2[[#This Row],[Y (Position in AU)]]^2+horizons_results_fin_use___Copy__2[[#This Row],[Z (Position in AU)]]^2)</f>
        <v>1.0138889762004228</v>
      </c>
    </row>
    <row r="1297" spans="1:5" x14ac:dyDescent="0.3">
      <c r="A1297" s="1">
        <f t="shared" si="20"/>
        <v>1296</v>
      </c>
      <c r="B1297" s="1">
        <v>0.74447056880699047</v>
      </c>
      <c r="C1297" s="1">
        <v>-0.63128970343719182</v>
      </c>
      <c r="D1297" s="1">
        <v>-0.27364942894769639</v>
      </c>
      <c r="E1297" s="2">
        <f>SQRT(horizons_results_fin_use___Copy__2[[#This Row],[X (Position in AU)]]^2+horizons_results_fin_use___Copy__2[[#This Row],[Y (Position in AU)]]^2+horizons_results_fin_use___Copy__2[[#This Row],[Z (Position in AU)]]^2)</f>
        <v>1.0137293166565826</v>
      </c>
    </row>
    <row r="1298" spans="1:5" x14ac:dyDescent="0.3">
      <c r="A1298" s="1">
        <f t="shared" si="20"/>
        <v>1297</v>
      </c>
      <c r="B1298" s="1">
        <v>0.75576554694302067</v>
      </c>
      <c r="C1298" s="1">
        <v>-0.61966142389875134</v>
      </c>
      <c r="D1298" s="1">
        <v>-0.26860850519676488</v>
      </c>
      <c r="E1298" s="2">
        <f>SQRT(horizons_results_fin_use___Copy__2[[#This Row],[X (Position in AU)]]^2+horizons_results_fin_use___Copy__2[[#This Row],[Y (Position in AU)]]^2+horizons_results_fin_use___Copy__2[[#This Row],[Z (Position in AU)]]^2)</f>
        <v>1.0135641919870451</v>
      </c>
    </row>
    <row r="1299" spans="1:5" x14ac:dyDescent="0.3">
      <c r="A1299" s="1">
        <f t="shared" si="20"/>
        <v>1298</v>
      </c>
      <c r="B1299" s="1">
        <v>0.76684420487014493</v>
      </c>
      <c r="C1299" s="1">
        <v>-0.6078561860171513</v>
      </c>
      <c r="D1299" s="1">
        <v>-0.26349101988468071</v>
      </c>
      <c r="E1299" s="2">
        <f>SQRT(horizons_results_fin_use___Copy__2[[#This Row],[X (Position in AU)]]^2+horizons_results_fin_use___Copy__2[[#This Row],[Y (Position in AU)]]^2+horizons_results_fin_use___Copy__2[[#This Row],[Z (Position in AU)]]^2)</f>
        <v>1.0133936525270482</v>
      </c>
    </row>
    <row r="1300" spans="1:5" x14ac:dyDescent="0.3">
      <c r="A1300" s="1">
        <f t="shared" si="20"/>
        <v>1299</v>
      </c>
      <c r="B1300" s="1">
        <v>0.77770309611516752</v>
      </c>
      <c r="C1300" s="1">
        <v>-0.59587762210841178</v>
      </c>
      <c r="D1300" s="1">
        <v>-0.25829856833433712</v>
      </c>
      <c r="E1300" s="2">
        <f>SQRT(horizons_results_fin_use___Copy__2[[#This Row],[X (Position in AU)]]^2+horizons_results_fin_use___Copy__2[[#This Row],[Y (Position in AU)]]^2+horizons_results_fin_use___Copy__2[[#This Row],[Z (Position in AU)]]^2)</f>
        <v>1.0132178426381273</v>
      </c>
    </row>
    <row r="1301" spans="1:5" x14ac:dyDescent="0.3">
      <c r="A1301" s="1">
        <f t="shared" si="20"/>
        <v>1300</v>
      </c>
      <c r="B1301" s="1">
        <v>0.78833894610321131</v>
      </c>
      <c r="C1301" s="1">
        <v>-0.58372945787698449</v>
      </c>
      <c r="D1301" s="1">
        <v>-0.25303277512160571</v>
      </c>
      <c r="E1301" s="2">
        <f>SQRT(horizons_results_fin_use___Copy__2[[#This Row],[X (Position in AU)]]^2+horizons_results_fin_use___Copy__2[[#This Row],[Y (Position in AU)]]^2+horizons_results_fin_use___Copy__2[[#This Row],[Z (Position in AU)]]^2)</f>
        <v>1.0130369979532936</v>
      </c>
    </row>
    <row r="1302" spans="1:5" x14ac:dyDescent="0.3">
      <c r="A1302" s="1">
        <f t="shared" si="20"/>
        <v>1301</v>
      </c>
      <c r="B1302" s="1">
        <v>0.79874866150183998</v>
      </c>
      <c r="C1302" s="1">
        <v>-0.57141547675201165</v>
      </c>
      <c r="D1302" s="1">
        <v>-0.24769527759374901</v>
      </c>
      <c r="E1302" s="2">
        <f>SQRT(horizons_results_fin_use___Copy__2[[#This Row],[X (Position in AU)]]^2+horizons_results_fin_use___Copy__2[[#This Row],[Y (Position in AU)]]^2+horizons_results_fin_use___Copy__2[[#This Row],[Z (Position in AU)]]^2)</f>
        <v>1.0128514312893842</v>
      </c>
    </row>
    <row r="1303" spans="1:5" x14ac:dyDescent="0.3">
      <c r="A1303" s="1">
        <f t="shared" si="20"/>
        <v>1302</v>
      </c>
      <c r="B1303" s="1">
        <v>0.80892932490312563</v>
      </c>
      <c r="C1303" s="1">
        <v>-0.55893948415796135</v>
      </c>
      <c r="D1303" s="1">
        <v>-0.24228771081253231</v>
      </c>
      <c r="E1303" s="2">
        <f>SQRT(horizons_results_fin_use___Copy__2[[#This Row],[X (Position in AU)]]^2+horizons_results_fin_use___Copy__2[[#This Row],[Y (Position in AU)]]^2+horizons_results_fin_use___Copy__2[[#This Row],[Z (Position in AU)]]^2)</f>
        <v>1.0126615103033056</v>
      </c>
    </row>
    <row r="1304" spans="1:5" x14ac:dyDescent="0.3">
      <c r="A1304" s="1">
        <f t="shared" si="20"/>
        <v>1303</v>
      </c>
      <c r="B1304" s="1">
        <v>0.81887817753240499</v>
      </c>
      <c r="C1304" s="1">
        <v>-0.54630527720649802</v>
      </c>
      <c r="D1304" s="1">
        <v>-0.23681169606526789</v>
      </c>
      <c r="E1304" s="2">
        <f>SQRT(horizons_results_fin_use___Copy__2[[#This Row],[X (Position in AU)]]^2+horizons_results_fin_use___Copy__2[[#This Row],[Y (Position in AU)]]^2+horizons_results_fin_use___Copy__2[[#This Row],[Z (Position in AU)]]^2)</f>
        <v>1.0124676315496564</v>
      </c>
    </row>
    <row r="1305" spans="1:5" x14ac:dyDescent="0.3">
      <c r="A1305" s="1">
        <f t="shared" si="20"/>
        <v>1304</v>
      </c>
      <c r="B1305" s="1">
        <v>0.82859259456778755</v>
      </c>
      <c r="C1305" s="1">
        <v>-0.53351662284948465</v>
      </c>
      <c r="D1305" s="1">
        <v>-0.23126883382430069</v>
      </c>
      <c r="E1305" s="2">
        <f>SQRT(horizons_results_fin_use___Copy__2[[#This Row],[X (Position in AU)]]^2+horizons_results_fin_use___Copy__2[[#This Row],[Y (Position in AU)]]^2+horizons_results_fin_use___Copy__2[[#This Row],[Z (Position in AU)]]^2)</f>
        <v>1.0122701952185242</v>
      </c>
    </row>
    <row r="1306" spans="1:5" x14ac:dyDescent="0.3">
      <c r="A1306" s="1">
        <f t="shared" si="20"/>
        <v>1305</v>
      </c>
      <c r="B1306" s="1">
        <v>0.83807005754943242</v>
      </c>
      <c r="C1306" s="1">
        <v>-0.52057724506126779</v>
      </c>
      <c r="D1306" s="1">
        <v>-0.2256607009596226</v>
      </c>
      <c r="E1306" s="2">
        <f>SQRT(horizons_results_fin_use___Copy__2[[#This Row],[X (Position in AU)]]^2+horizons_results_fin_use___Copy__2[[#This Row],[Y (Position in AU)]]^2+horizons_results_fin_use___Copy__2[[#This Row],[Z (Position in AU)]]^2)</f>
        <v>1.0120695832768003</v>
      </c>
    </row>
    <row r="1307" spans="1:5" x14ac:dyDescent="0.3">
      <c r="A1307" s="1">
        <f t="shared" si="20"/>
        <v>1306</v>
      </c>
      <c r="B1307" s="1">
        <v>0.8473081271390055</v>
      </c>
      <c r="C1307" s="1">
        <v>-0.50749082010670954</v>
      </c>
      <c r="D1307" s="1">
        <v>-0.2199888514654755</v>
      </c>
      <c r="E1307" s="2">
        <f>SQRT(horizons_results_fin_use___Copy__2[[#This Row],[X (Position in AU)]]^2+horizons_results_fin_use___Copy__2[[#This Row],[Y (Position in AU)]]^2+horizons_results_fin_use___Copy__2[[#This Row],[Z (Position in AU)]]^2)</f>
        <v>1.0118661421242876</v>
      </c>
    </row>
    <row r="1308" spans="1:5" x14ac:dyDescent="0.3">
      <c r="A1308" s="1">
        <f t="shared" si="20"/>
        <v>1307</v>
      </c>
      <c r="B1308" s="1">
        <v>0.8563044182048174</v>
      </c>
      <c r="C1308" s="1">
        <v>-0.49426097847593048</v>
      </c>
      <c r="D1308" s="1">
        <v>-0.21425481988005421</v>
      </c>
      <c r="E1308" s="2">
        <f>SQRT(horizons_results_fin_use___Copy__2[[#This Row],[X (Position in AU)]]^2+horizons_results_fin_use___Copy__2[[#This Row],[Y (Position in AU)]]^2+horizons_results_fin_use___Copy__2[[#This Row],[Z (Position in AU)]]^2)</f>
        <v>1.0116601698806322</v>
      </c>
    </row>
    <row r="1309" spans="1:5" x14ac:dyDescent="0.3">
      <c r="A1309" s="1">
        <f t="shared" si="20"/>
        <v>1308</v>
      </c>
      <c r="B1309" s="1">
        <v>0.86505657840749761</v>
      </c>
      <c r="C1309" s="1">
        <v>-0.48089131215001513</v>
      </c>
      <c r="D1309" s="1">
        <v>-0.20846012669364011</v>
      </c>
      <c r="E1309" s="2">
        <f>SQRT(horizons_results_fin_use___Copy__2[[#This Row],[X (Position in AU)]]^2+horizons_results_fin_use___Copy__2[[#This Row],[Y (Position in AU)]]^2+horizons_results_fin_use___Copy__2[[#This Row],[Z (Position in AU)]]^2)</f>
        <v>1.0114519080848969</v>
      </c>
    </row>
    <row r="1310" spans="1:5" x14ac:dyDescent="0.3">
      <c r="A1310" s="1">
        <f t="shared" si="20"/>
        <v>1309</v>
      </c>
      <c r="B1310" s="1">
        <v>0.87356227112781393</v>
      </c>
      <c r="C1310" s="1">
        <v>-0.46738538599333901</v>
      </c>
      <c r="D1310" s="1">
        <v>-0.20260628513210399</v>
      </c>
      <c r="E1310" s="2">
        <f>SQRT(horizons_results_fin_use___Copy__2[[#This Row],[X (Position in AU)]]^2+horizons_results_fin_use___Copy__2[[#This Row],[Y (Position in AU)]]^2+horizons_results_fin_use___Copy__2[[#This Row],[Z (Position in AU)]]^2)</f>
        <v>1.0112415375928534</v>
      </c>
    </row>
    <row r="1311" spans="1:5" x14ac:dyDescent="0.3">
      <c r="A1311" s="1">
        <f t="shared" si="20"/>
        <v>1310</v>
      </c>
      <c r="B1311" s="1">
        <v>0.88181916339865618</v>
      </c>
      <c r="C1311" s="1">
        <v>-0.45374675200616671</v>
      </c>
      <c r="D1311" s="1">
        <v>-0.1966948086942962</v>
      </c>
      <c r="E1311" s="2">
        <f>SQRT(horizons_results_fin_use___Copy__2[[#This Row],[X (Position in AU)]]^2+horizons_results_fin_use___Copy__2[[#This Row],[Y (Position in AU)]]^2+horizons_results_fin_use___Copy__2[[#This Row],[Z (Position in AU)]]^2)</f>
        <v>1.0110291784417191</v>
      </c>
    </row>
    <row r="1312" spans="1:5" x14ac:dyDescent="0.3">
      <c r="A1312" s="1">
        <f t="shared" si="20"/>
        <v>1311</v>
      </c>
      <c r="B1312" s="1">
        <v>0.88982491918397477</v>
      </c>
      <c r="C1312" s="1">
        <v>-0.43997896497522282</v>
      </c>
      <c r="D1312" s="1">
        <v>-0.19072721876828361</v>
      </c>
      <c r="E1312" s="2">
        <f>SQRT(horizons_results_fin_use___Copy__2[[#This Row],[X (Position in AU)]]^2+horizons_results_fin_use___Copy__2[[#This Row],[Y (Position in AU)]]^2+horizons_results_fin_use___Copy__2[[#This Row],[Z (Position in AU)]]^2)</f>
        <v>1.0108148932423386</v>
      </c>
    </row>
    <row r="1313" spans="1:5" x14ac:dyDescent="0.3">
      <c r="A1313" s="1">
        <f t="shared" si="20"/>
        <v>1312</v>
      </c>
      <c r="B1313" s="1">
        <v>0.89757719780156986</v>
      </c>
      <c r="C1313" s="1">
        <v>-0.42608559794685708</v>
      </c>
      <c r="D1313" s="1">
        <v>-0.1847050516561651</v>
      </c>
      <c r="E1313" s="2">
        <f>SQRT(horizons_results_fin_use___Copy__2[[#This Row],[X (Position in AU)]]^2+horizons_results_fin_use___Copy__2[[#This Row],[Y (Position in AU)]]^2+horizons_results_fin_use___Copy__2[[#This Row],[Z (Position in AU)]]^2)</f>
        <v>1.0105986932993509</v>
      </c>
    </row>
    <row r="1314" spans="1:5" x14ac:dyDescent="0.3">
      <c r="A1314" s="1">
        <f t="shared" si="20"/>
        <v>1313</v>
      </c>
      <c r="B1314" s="1">
        <v>0.90507365664630224</v>
      </c>
      <c r="C1314" s="1">
        <v>-0.41207025610268277</v>
      </c>
      <c r="D1314" s="1">
        <v>-0.17862986446855381</v>
      </c>
      <c r="E1314" s="2">
        <f>SQRT(horizons_results_fin_use___Copy__2[[#This Row],[X (Position in AU)]]^2+horizons_results_fin_use___Copy__2[[#This Row],[Y (Position in AU)]]^2+horizons_results_fin_use___Copy__2[[#This Row],[Z (Position in AU)]]^2)</f>
        <v>1.0103805463288043</v>
      </c>
    </row>
    <row r="1315" spans="1:5" x14ac:dyDescent="0.3">
      <c r="A1315" s="1">
        <f t="shared" si="20"/>
        <v>1314</v>
      </c>
      <c r="B1315" s="1">
        <v>0.91231195686392352</v>
      </c>
      <c r="C1315" s="1">
        <v>-0.39793658807398591</v>
      </c>
      <c r="D1315" s="1">
        <v>-0.17250323959969369</v>
      </c>
      <c r="E1315" s="2">
        <f>SQRT(horizons_results_fin_use___Copy__2[[#This Row],[X (Position in AU)]]^2+horizons_results_fin_use___Copy__2[[#This Row],[Y (Position in AU)]]^2+horizons_results_fin_use___Copy__2[[#This Row],[Z (Position in AU)]]^2)</f>
        <v>1.0101603845119029</v>
      </c>
    </row>
    <row r="1316" spans="1:5" x14ac:dyDescent="0.3">
      <c r="A1316" s="1">
        <f t="shared" si="20"/>
        <v>1315</v>
      </c>
      <c r="B1316" s="1">
        <v>0.91928977042577531</v>
      </c>
      <c r="C1316" s="1">
        <v>-0.38368829437006879</v>
      </c>
      <c r="D1316" s="1">
        <v>-0.16632678779361629</v>
      </c>
      <c r="E1316" s="2">
        <f>SQRT(horizons_results_fin_use___Copy__2[[#This Row],[X (Position in AU)]]^2+horizons_results_fin_use___Copy__2[[#This Row],[Y (Position in AU)]]^2+horizons_results_fin_use___Copy__2[[#This Row],[Z (Position in AU)]]^2)</f>
        <v>1.0099381117592454</v>
      </c>
    </row>
    <row r="1317" spans="1:5" x14ac:dyDescent="0.3">
      <c r="A1317" s="1">
        <f t="shared" si="20"/>
        <v>1316</v>
      </c>
      <c r="B1317" s="1">
        <v>0.9260047871976852</v>
      </c>
      <c r="C1317" s="1">
        <v>-0.36932913323817229</v>
      </c>
      <c r="D1317" s="1">
        <v>-0.16010215007886741</v>
      </c>
      <c r="E1317" s="2">
        <f>SQRT(horizons_results_fin_use___Copy__2[[#This Row],[X (Position in AU)]]^2+horizons_results_fin_use___Copy__2[[#This Row],[Y (Position in AU)]]^2+horizons_results_fin_use___Copy__2[[#This Row],[Z (Position in AU)]]^2)</f>
        <v>1.0097136094117807</v>
      </c>
    </row>
    <row r="1318" spans="1:5" x14ac:dyDescent="0.3">
      <c r="A1318" s="1">
        <f t="shared" si="20"/>
        <v>1317</v>
      </c>
      <c r="B1318" s="1">
        <v>0.9324547210053481</v>
      </c>
      <c r="C1318" s="1">
        <v>-0.35486292477878828</v>
      </c>
      <c r="D1318" s="1">
        <v>-0.15383099903052569</v>
      </c>
      <c r="E1318" s="2">
        <f>SQRT(horizons_results_fin_use___Copy__2[[#This Row],[X (Position in AU)]]^2+horizons_results_fin_use___Copy__2[[#This Row],[Y (Position in AU)]]^2+horizons_results_fin_use___Copy__2[[#This Row],[Z (Position in AU)]]^2)</f>
        <v>1.0094867400666772</v>
      </c>
    </row>
    <row r="1319" spans="1:5" x14ac:dyDescent="0.3">
      <c r="A1319" s="1">
        <f t="shared" si="20"/>
        <v>1318</v>
      </c>
      <c r="B1319" s="1">
        <v>0.93863731426146058</v>
      </c>
      <c r="C1319" s="1">
        <v>-0.34029355445104742</v>
      </c>
      <c r="D1319" s="1">
        <v>-0.14751503989876691</v>
      </c>
      <c r="E1319" s="2">
        <f>SQRT(horizons_results_fin_use___Copy__2[[#This Row],[X (Position in AU)]]^2+horizons_results_fin_use___Copy__2[[#This Row],[Y (Position in AU)]]^2+horizons_results_fin_use___Copy__2[[#This Row],[Z (Position in AU)]]^2)</f>
        <v>1.0092573496988915</v>
      </c>
    </row>
    <row r="1320" spans="1:5" x14ac:dyDescent="0.3">
      <c r="A1320" s="1">
        <f t="shared" si="20"/>
        <v>1319</v>
      </c>
      <c r="B1320" s="1">
        <v>0.94455034135946114</v>
      </c>
      <c r="C1320" s="1">
        <v>-0.32562497721705558</v>
      </c>
      <c r="D1320" s="1">
        <v>-0.14115601213030241</v>
      </c>
      <c r="E1320" s="2">
        <f>SQRT(horizons_results_fin_use___Copy__2[[#This Row],[X (Position in AU)]]^2+horizons_results_fin_use___Copy__2[[#This Row],[Y (Position in AU)]]^2+horizons_results_fin_use___Copy__2[[#This Row],[Z (Position in AU)]]^2)</f>
        <v>1.0090252687174948</v>
      </c>
    </row>
    <row r="1321" spans="1:5" x14ac:dyDescent="0.3">
      <c r="A1321" s="1">
        <f t="shared" si="20"/>
        <v>1320</v>
      </c>
      <c r="B1321" s="1">
        <v>0.95019161173168154</v>
      </c>
      <c r="C1321" s="1">
        <v>-0.31086122348922302</v>
      </c>
      <c r="D1321" s="1">
        <v>-0.13475569170416299</v>
      </c>
      <c r="E1321" s="2">
        <f>SQRT(horizons_results_fin_use___Copy__2[[#This Row],[X (Position in AU)]]^2+horizons_results_fin_use___Copy__2[[#This Row],[Y (Position in AU)]]^2+horizons_results_fin_use___Copy__2[[#This Row],[Z (Position in AU)]]^2)</f>
        <v>1.0087903130587321</v>
      </c>
    </row>
    <row r="1322" spans="1:5" x14ac:dyDescent="0.3">
      <c r="A1322" s="1">
        <f t="shared" si="20"/>
        <v>1321</v>
      </c>
      <c r="B1322" s="1">
        <v>0.95555897420818425</v>
      </c>
      <c r="C1322" s="1">
        <v>-0.29600640770054309</v>
      </c>
      <c r="D1322" s="1">
        <v>-0.12831589448127109</v>
      </c>
      <c r="E1322" s="2">
        <f>SQRT(horizons_results_fin_use___Copy__2[[#This Row],[X (Position in AU)]]^2+horizons_results_fin_use___Copy__2[[#This Row],[Y (Position in AU)]]^2+horizons_results_fin_use___Copy__2[[#This Row],[Z (Position in AU)]]^2)</f>
        <v>1.0085522868776344</v>
      </c>
    </row>
    <row r="1323" spans="1:5" x14ac:dyDescent="0.3">
      <c r="A1323" s="1">
        <f t="shared" si="20"/>
        <v>1322</v>
      </c>
      <c r="B1323" s="1">
        <v>0.9606503250135896</v>
      </c>
      <c r="C1323" s="1">
        <v>-0.28106473957520611</v>
      </c>
      <c r="D1323" s="1">
        <v>-0.1218384803756079</v>
      </c>
      <c r="E1323" s="2">
        <f>SQRT(horizons_results_fin_use___Copy__2[[#This Row],[X (Position in AU)]]^2+horizons_results_fin_use___Copy__2[[#This Row],[Y (Position in AU)]]^2+horizons_results_fin_use___Copy__2[[#This Row],[Z (Position in AU)]]^2)</f>
        <v>1.0083109887735187</v>
      </c>
    </row>
    <row r="1324" spans="1:5" x14ac:dyDescent="0.3">
      <c r="A1324" s="1">
        <f t="shared" si="20"/>
        <v>1323</v>
      </c>
      <c r="B1324" s="1">
        <v>0.96546362212337333</v>
      </c>
      <c r="C1324" s="1">
        <v>-0.26604053687734042</v>
      </c>
      <c r="D1324" s="1">
        <v>-0.1153253575516747</v>
      </c>
      <c r="E1324" s="2">
        <f>SQRT(horizons_results_fin_use___Copy__2[[#This Row],[X (Position in AU)]]^2+horizons_results_fin_use___Copy__2[[#This Row],[Y (Position in AU)]]^2+horizons_results_fin_use___Copy__2[[#This Row],[Z (Position in AU)]]^2)</f>
        <v>1.0080662235190647</v>
      </c>
    </row>
    <row r="1325" spans="1:5" x14ac:dyDescent="0.3">
      <c r="A1325" s="1">
        <f t="shared" si="20"/>
        <v>1324</v>
      </c>
      <c r="B1325" s="1">
        <v>0.96999690822129458</v>
      </c>
      <c r="C1325" s="1">
        <v>-0.25093823657793518</v>
      </c>
      <c r="D1325" s="1">
        <v>-0.1087784850996476</v>
      </c>
      <c r="E1325" s="2">
        <f>SQRT(horizons_results_fin_use___Copy__2[[#This Row],[X (Position in AU)]]^2+horizons_results_fin_use___Copy__2[[#This Row],[Y (Position in AU)]]^2+horizons_results_fin_use___Copy__2[[#This Row],[Z (Position in AU)]]^2)</f>
        <v>1.0078178205193082</v>
      </c>
    </row>
    <row r="1326" spans="1:5" x14ac:dyDescent="0.3">
      <c r="A1326" s="1">
        <f t="shared" si="20"/>
        <v>1325</v>
      </c>
      <c r="B1326" s="1">
        <v>0.97424834250552494</v>
      </c>
      <c r="C1326" s="1">
        <v>-0.23576239952153569</v>
      </c>
      <c r="D1326" s="1">
        <v>-0.1021998720243846</v>
      </c>
      <c r="E1326" s="2">
        <f>SQRT(horizons_results_fin_use___Copy__2[[#This Row],[X (Position in AU)]]^2+horizons_results_fin_use___Copy__2[[#This Row],[Y (Position in AU)]]^2+horizons_results_fin_use___Copy__2[[#This Row],[Z (Position in AU)]]^2)</f>
        <v>1.0075656582797548</v>
      </c>
    </row>
    <row r="1327" spans="1:5" x14ac:dyDescent="0.3">
      <c r="A1327" s="1">
        <f t="shared" si="20"/>
        <v>1326</v>
      </c>
      <c r="B1327" s="1">
        <v>0.97821623792696977</v>
      </c>
      <c r="C1327" s="1">
        <v>-0.2205177030044429</v>
      </c>
      <c r="D1327" s="1">
        <v>-9.5591570448664342E-2</v>
      </c>
      <c r="E1327" s="2">
        <f>SQRT(horizons_results_fin_use___Copy__2[[#This Row],[X (Position in AU)]]^2+horizons_results_fin_use___Copy__2[[#This Row],[Y (Position in AU)]]^2+horizons_results_fin_use___Copy__2[[#This Row],[Z (Position in AU)]]^2)</f>
        <v>1.0073096911194648</v>
      </c>
    </row>
    <row r="1328" spans="1:5" x14ac:dyDescent="0.3">
      <c r="A1328" s="1">
        <f t="shared" si="20"/>
        <v>1327</v>
      </c>
      <c r="B1328" s="1">
        <v>0.98189909627857042</v>
      </c>
      <c r="C1328" s="1">
        <v>-0.20520891762794879</v>
      </c>
      <c r="D1328" s="1">
        <v>-8.8955662184921874E-2</v>
      </c>
      <c r="E1328" s="2">
        <f>SQRT(horizons_results_fin_use___Copy__2[[#This Row],[X (Position in AU)]]^2+horizons_results_fin_use___Copy__2[[#This Row],[Y (Position in AU)]]^2+horizons_results_fin_use___Copy__2[[#This Row],[Z (Position in AU)]]^2)</f>
        <v>1.0070499714420658</v>
      </c>
    </row>
    <row r="1329" spans="1:5" x14ac:dyDescent="0.3">
      <c r="A1329" s="1">
        <f t="shared" si="20"/>
        <v>1328</v>
      </c>
      <c r="B1329" s="1">
        <v>0.98529563146738242</v>
      </c>
      <c r="C1329" s="1">
        <v>-0.18984086966115671</v>
      </c>
      <c r="D1329" s="1">
        <v>-8.2294240152459452E-2</v>
      </c>
      <c r="E1329" s="2">
        <f>SQRT(horizons_results_fin_use___Copy__2[[#This Row],[X (Position in AU)]]^2+horizons_results_fin_use___Copy__2[[#This Row],[Y (Position in AU)]]^2+horizons_results_fin_use___Copy__2[[#This Row],[Z (Position in AU)]]^2)</f>
        <v>1.0067866601940467</v>
      </c>
    </row>
    <row r="1330" spans="1:5" x14ac:dyDescent="0.3">
      <c r="A1330" s="1">
        <f t="shared" si="20"/>
        <v>1329</v>
      </c>
      <c r="B1330" s="1">
        <v>0.98840477360787871</v>
      </c>
      <c r="C1330" s="1">
        <v>-0.17441839589877189</v>
      </c>
      <c r="D1330" s="1">
        <v>-7.5609388396085261E-2</v>
      </c>
      <c r="E1330" s="2">
        <f>SQRT(horizons_results_fin_use___Copy__2[[#This Row],[X (Position in AU)]]^2+horizons_results_fin_use___Copy__2[[#This Row],[Y (Position in AU)]]^2+horizons_results_fin_use___Copy__2[[#This Row],[Z (Position in AU)]]^2)</f>
        <v>1.0065200211284289</v>
      </c>
    </row>
    <row r="1331" spans="1:5" x14ac:dyDescent="0.3">
      <c r="A1331" s="1">
        <f t="shared" si="20"/>
        <v>1330</v>
      </c>
      <c r="B1331" s="1">
        <v>0.99122565283635999</v>
      </c>
      <c r="C1331" s="1">
        <v>-0.15894630112078981</v>
      </c>
      <c r="D1331" s="1">
        <v>-6.8903165212449324E-2</v>
      </c>
      <c r="E1331" s="2">
        <f>SQRT(horizons_results_fin_use___Copy__2[[#This Row],[X (Position in AU)]]^2+horizons_results_fin_use___Copy__2[[#This Row],[Y (Position in AU)]]^2+horizons_results_fin_use___Copy__2[[#This Row],[Z (Position in AU)]]^2)</f>
        <v>1.0062504000780039</v>
      </c>
    </row>
    <row r="1332" spans="1:5" x14ac:dyDescent="0.3">
      <c r="A1332" s="1">
        <f t="shared" si="20"/>
        <v>1331</v>
      </c>
      <c r="B1332" s="1">
        <v>0.99375756841064466</v>
      </c>
      <c r="C1332" s="1">
        <v>-0.14342932669882141</v>
      </c>
      <c r="D1332" s="1">
        <v>-6.2177592562564332E-2</v>
      </c>
      <c r="E1332" s="2">
        <f>SQRT(horizons_results_fin_use___Copy__2[[#This Row],[X (Position in AU)]]^2+horizons_results_fin_use___Copy__2[[#This Row],[Y (Position in AU)]]^2+horizons_results_fin_use___Copy__2[[#This Row],[Z (Position in AU)]]^2)</f>
        <v>1.0059781953638909</v>
      </c>
    </row>
    <row r="1333" spans="1:5" x14ac:dyDescent="0.3">
      <c r="A1333" s="1">
        <f t="shared" si="20"/>
        <v>1332</v>
      </c>
      <c r="B1333" s="1">
        <v>0.99599995195156454</v>
      </c>
      <c r="C1333" s="1">
        <v>-0.127872133965069</v>
      </c>
      <c r="D1333" s="1">
        <v>-5.5434652483073027E-2</v>
      </c>
      <c r="E1333" s="2">
        <f>SQRT(horizons_results_fin_use___Copy__2[[#This Row],[X (Position in AU)]]^2+horizons_results_fin_use___Copy__2[[#This Row],[Y (Position in AU)]]^2+horizons_results_fin_use___Copy__2[[#This Row],[Z (Position in AU)]]^2)</f>
        <v>1.0057038269929266</v>
      </c>
    </row>
    <row r="1334" spans="1:5" x14ac:dyDescent="0.3">
      <c r="A1334" s="1">
        <f t="shared" si="20"/>
        <v>1333</v>
      </c>
      <c r="B1334" s="1">
        <v>0.99795233266781092</v>
      </c>
      <c r="C1334" s="1">
        <v>-0.11227930095807</v>
      </c>
      <c r="D1334" s="1">
        <v>-4.8676289129381427E-2</v>
      </c>
      <c r="E1334" s="2">
        <f>SQRT(horizons_results_fin_use___Copy__2[[#This Row],[X (Position in AU)]]^2+horizons_results_fin_use___Copy__2[[#This Row],[Y (Position in AU)]]^2+horizons_results_fin_use___Copy__2[[#This Row],[Z (Position in AU)]]^2)</f>
        <v>1.0054277103920326</v>
      </c>
    </row>
    <row r="1335" spans="1:5" x14ac:dyDescent="0.3">
      <c r="A1335" s="1">
        <f t="shared" si="20"/>
        <v>1334</v>
      </c>
      <c r="B1335" s="1">
        <v>0.99961430898606796</v>
      </c>
      <c r="C1335" s="1">
        <v>-9.6655328463122456E-2</v>
      </c>
      <c r="D1335" s="1">
        <v>-4.1904414241754187E-2</v>
      </c>
      <c r="E1335" s="2">
        <f>SQRT(horizons_results_fin_use___Copy__2[[#This Row],[X (Position in AU)]]^2+horizons_results_fin_use___Copy__2[[#This Row],[Y (Position in AU)]]^2+horizons_results_fin_use___Copy__2[[#This Row],[Z (Position in AU)]]^2)</f>
        <v>1.005150237120279</v>
      </c>
    </row>
    <row r="1336" spans="1:5" x14ac:dyDescent="0.3">
      <c r="A1336" s="1">
        <f t="shared" si="20"/>
        <v>1335</v>
      </c>
      <c r="B1336" s="1">
        <v>1.0009855276556401</v>
      </c>
      <c r="C1336" s="1">
        <v>-8.1004651084925328E-2</v>
      </c>
      <c r="D1336" s="1">
        <v>-3.5120914072416208E-2</v>
      </c>
      <c r="E1336" s="2">
        <f>SQRT(horizons_results_fin_use___Copy__2[[#This Row],[X (Position in AU)]]^2+horizons_results_fin_use___Copy__2[[#This Row],[Y (Position in AU)]]^2+horizons_results_fin_use___Copy__2[[#This Row],[Z (Position in AU)]]^2)</f>
        <v>1.0048717623053762</v>
      </c>
    </row>
    <row r="1337" spans="1:5" x14ac:dyDescent="0.3">
      <c r="A1337" s="1">
        <f t="shared" si="20"/>
        <v>1336</v>
      </c>
      <c r="B1337" s="1">
        <v>1.002065669419167</v>
      </c>
      <c r="C1337" s="1">
        <v>-6.5331650296818644E-2</v>
      </c>
      <c r="D1337" s="1">
        <v>-2.8327656529288661E-2</v>
      </c>
      <c r="E1337" s="2">
        <f>SQRT(horizons_results_fin_use___Copy__2[[#This Row],[X (Position in AU)]]^2+horizons_results_fin_use___Copy__2[[#This Row],[Y (Position in AU)]]^2+horizons_results_fin_use___Copy__2[[#This Row],[Z (Position in AU)]]^2)</f>
        <v>1.0045925972668872</v>
      </c>
    </row>
    <row r="1338" spans="1:5" x14ac:dyDescent="0.3">
      <c r="A1338" s="1">
        <f t="shared" si="20"/>
        <v>1337</v>
      </c>
      <c r="B1338" s="1">
        <v>1.0028544397617181</v>
      </c>
      <c r="C1338" s="1">
        <v>-4.9640667820737949E-2</v>
      </c>
      <c r="D1338" s="1">
        <v>-2.1526497962339089E-2</v>
      </c>
      <c r="E1338" s="2">
        <f>SQRT(horizons_results_fin_use___Copy__2[[#This Row],[X (Position in AU)]]^2+horizons_results_fin_use___Copy__2[[#This Row],[Y (Position in AU)]]^2+horizons_results_fin_use___Copy__2[[#This Row],[Z (Position in AU)]]^2)</f>
        <v>1.0043130056740284</v>
      </c>
    </row>
    <row r="1339" spans="1:5" x14ac:dyDescent="0.3">
      <c r="A1339" s="1">
        <f t="shared" si="20"/>
        <v>1338</v>
      </c>
      <c r="B1339" s="1">
        <v>1.0033515634939321</v>
      </c>
      <c r="C1339" s="1">
        <v>-3.393601866991347E-2</v>
      </c>
      <c r="D1339" s="1">
        <v>-1.4719289421222191E-2</v>
      </c>
      <c r="E1339" s="2">
        <f>SQRT(horizons_results_fin_use___Copy__2[[#This Row],[X (Position in AU)]]^2+horizons_results_fin_use___Copy__2[[#This Row],[Y (Position in AU)]]^2+horizons_results_fin_use___Copy__2[[#This Row],[Z (Position in AU)]]^2)</f>
        <v>1.004033202045604</v>
      </c>
    </row>
    <row r="1340" spans="1:5" x14ac:dyDescent="0.3">
      <c r="A1340" s="1">
        <f t="shared" si="20"/>
        <v>1339</v>
      </c>
      <c r="B1340" s="1">
        <v>1.003556782402339</v>
      </c>
      <c r="C1340" s="1">
        <v>-1.8222003616055721E-2</v>
      </c>
      <c r="D1340" s="1">
        <v>-7.9078823543510691E-3</v>
      </c>
      <c r="E1340" s="2">
        <f>SQRT(horizons_results_fin_use___Copy__2[[#This Row],[X (Position in AU)]]^2+horizons_results_fin_use___Copy__2[[#This Row],[Y (Position in AU)]]^2+horizons_results_fin_use___Copy__2[[#This Row],[Z (Position in AU)]]^2)</f>
        <v>1.003753351937043</v>
      </c>
    </row>
    <row r="1341" spans="1:5" x14ac:dyDescent="0.3">
      <c r="A1341" s="1">
        <f t="shared" si="20"/>
        <v>1340</v>
      </c>
      <c r="B1341" s="1">
        <v>1.003469855547767</v>
      </c>
      <c r="C1341" s="1">
        <v>-2.5029208856426812E-3</v>
      </c>
      <c r="D1341" s="1">
        <v>-1.094133705277649E-3</v>
      </c>
      <c r="E1341" s="2">
        <f>SQRT(horizons_results_fin_use___Copy__2[[#This Row],[X (Position in AU)]]^2+horizons_results_fin_use___Copy__2[[#This Row],[Y (Position in AU)]]^2+horizons_results_fin_use___Copy__2[[#This Row],[Z (Position in AU)]]^2)</f>
        <v>1.0034735735108229</v>
      </c>
    </row>
    <row r="1342" spans="1:5" x14ac:dyDescent="0.3">
      <c r="A1342" s="1">
        <f t="shared" si="20"/>
        <v>1341</v>
      </c>
      <c r="B1342" s="1">
        <v>1.003090561884781</v>
      </c>
      <c r="C1342" s="1">
        <v>1.3216923215476359E-2</v>
      </c>
      <c r="D1342" s="1">
        <v>5.7200896918983557E-3</v>
      </c>
      <c r="E1342" s="2">
        <f>SQRT(horizons_results_fin_use___Copy__2[[#This Row],[X (Position in AU)]]^2+horizons_results_fin_use___Copy__2[[#This Row],[Y (Position in AU)]]^2+horizons_results_fin_use___Copy__2[[#This Row],[Z (Position in AU)]]^2)</f>
        <v>1.0031939402865693</v>
      </c>
    </row>
    <row r="1343" spans="1:5" x14ac:dyDescent="0.3">
      <c r="A1343" s="1">
        <f t="shared" si="20"/>
        <v>1342</v>
      </c>
      <c r="B1343" s="1">
        <v>1.002418704759567</v>
      </c>
      <c r="C1343" s="1">
        <v>2.893320510643518E-2</v>
      </c>
      <c r="D1343" s="1">
        <v>1.2532907529395411E-2</v>
      </c>
      <c r="E1343" s="2">
        <f>SQRT(horizons_results_fin_use___Copy__2[[#This Row],[X (Position in AU)]]^2+horizons_results_fin_use___Copy__2[[#This Row],[Y (Position in AU)]]^2+horizons_results_fin_use___Copy__2[[#This Row],[Z (Position in AU)]]^2)</f>
        <v>1.0029144847795943</v>
      </c>
    </row>
    <row r="1344" spans="1:5" x14ac:dyDescent="0.3">
      <c r="A1344" s="1">
        <f t="shared" si="20"/>
        <v>1343</v>
      </c>
      <c r="B1344" s="1">
        <v>1.0014541176553691</v>
      </c>
      <c r="C1344" s="1">
        <v>4.4641576426428263E-2</v>
      </c>
      <c r="D1344" s="1">
        <v>1.9342423306457451E-2</v>
      </c>
      <c r="E1344" s="2">
        <f>SQRT(horizons_results_fin_use___Copy__2[[#This Row],[X (Position in AU)]]^2+horizons_results_fin_use___Copy__2[[#This Row],[Y (Position in AU)]]^2+horizons_results_fin_use___Copy__2[[#This Row],[Z (Position in AU)]]^2)</f>
        <v>1.0026352025807277</v>
      </c>
    </row>
    <row r="1345" spans="1:5" x14ac:dyDescent="0.3">
      <c r="A1345" s="1">
        <f t="shared" si="20"/>
        <v>1344</v>
      </c>
      <c r="B1345" s="1">
        <v>1.000196670436905</v>
      </c>
      <c r="C1345" s="1">
        <v>6.0337658233839957E-2</v>
      </c>
      <c r="D1345" s="1">
        <v>2.6146722406490751E-2</v>
      </c>
      <c r="E1345" s="2">
        <f>SQRT(horizons_results_fin_use___Copy__2[[#This Row],[X (Position in AU)]]^2+horizons_results_fin_use___Copy__2[[#This Row],[Y (Position in AU)]]^2+horizons_results_fin_use___Copy__2[[#This Row],[Z (Position in AU)]]^2)</f>
        <v>1.0023560563227103</v>
      </c>
    </row>
    <row r="1346" spans="1:5" x14ac:dyDescent="0.3">
      <c r="A1346" s="1">
        <f t="shared" si="20"/>
        <v>1345</v>
      </c>
      <c r="B1346" s="1">
        <v>0.99864627539236028</v>
      </c>
      <c r="C1346" s="1">
        <v>7.6017036590534631E-2</v>
      </c>
      <c r="D1346" s="1">
        <v>3.2943870764106063E-2</v>
      </c>
      <c r="E1346" s="2">
        <f>SQRT(horizons_results_fin_use___Copy__2[[#This Row],[X (Position in AU)]]^2+horizons_results_fin_use___Copy__2[[#This Row],[Y (Position in AU)]]^2+horizons_results_fin_use___Copy__2[[#This Row],[Z (Position in AU)]]^2)</f>
        <v>1.0020769789931123</v>
      </c>
    </row>
    <row r="1347" spans="1:5" x14ac:dyDescent="0.3">
      <c r="A1347" s="1">
        <f t="shared" si="20"/>
        <v>1346</v>
      </c>
      <c r="B1347" s="1">
        <v>0.99680289261320631</v>
      </c>
      <c r="C1347" s="1">
        <v>9.1675258889581321E-2</v>
      </c>
      <c r="D1347" s="1">
        <v>3.973191379949103E-2</v>
      </c>
      <c r="E1347" s="2">
        <f>SQRT(horizons_results_fin_use___Copy__2[[#This Row],[X (Position in AU)]]^2+horizons_results_fin_use___Copy__2[[#This Row],[Y (Position in AU)]]^2+horizons_results_fin_use___Copy__2[[#This Row],[Z (Position in AU)]]^2)</f>
        <v>1.0017978762149065</v>
      </c>
    </row>
    <row r="1348" spans="1:5" x14ac:dyDescent="0.3">
      <c r="A1348" s="1">
        <f t="shared" ref="A1348:A1411" si="21">A1347+1</f>
        <v>1347</v>
      </c>
      <c r="B1348" s="1">
        <v>0.99466653467180499</v>
      </c>
      <c r="C1348" s="1">
        <v>0.107307830053718</v>
      </c>
      <c r="D1348" s="1">
        <v>4.650887523860403E-2</v>
      </c>
      <c r="E1348" s="2">
        <f>SQRT(horizons_results_fin_use___Copy__2[[#This Row],[X (Position in AU)]]^2+horizons_results_fin_use___Copy__2[[#This Row],[Y (Position in AU)]]^2+horizons_results_fin_use___Copy__2[[#This Row],[Z (Position in AU)]]^2)</f>
        <v>1.0015186274167918</v>
      </c>
    </row>
    <row r="1349" spans="1:5" x14ac:dyDescent="0.3">
      <c r="A1349" s="1">
        <f t="shared" si="21"/>
        <v>1348</v>
      </c>
      <c r="B1349" s="1">
        <v>0.99223727112378768</v>
      </c>
      <c r="C1349" s="1">
        <v>0.1229102076610248</v>
      </c>
      <c r="D1349" s="1">
        <v>5.3272755462231758E-2</v>
      </c>
      <c r="E1349" s="2">
        <f>SQRT(horizons_results_fin_use___Copy__2[[#This Row],[X (Position in AU)]]^2+horizons_results_fin_use___Copy__2[[#This Row],[Y (Position in AU)]]^2+horizons_results_fin_use___Copy__2[[#This Row],[Z (Position in AU)]]^2)</f>
        <v>1.0012390862471341</v>
      </c>
    </row>
    <row r="1350" spans="1:5" x14ac:dyDescent="0.3">
      <c r="A1350" s="1">
        <f t="shared" si="21"/>
        <v>1349</v>
      </c>
      <c r="B1350" s="1">
        <v>0.98951523404106156</v>
      </c>
      <c r="C1350" s="1">
        <v>0.13847779522397141</v>
      </c>
      <c r="D1350" s="1">
        <v>6.0021529166037479E-2</v>
      </c>
      <c r="E1350" s="2">
        <f>SQRT(horizons_results_fin_use___Copy__2[[#This Row],[X (Position in AU)]]^2+horizons_results_fin_use___Copy__2[[#This Row],[Y (Position in AU)]]^2+horizons_results_fin_use___Copy__2[[#This Row],[Z (Position in AU)]]^2)</f>
        <v>1.0009590811481048</v>
      </c>
    </row>
    <row r="1351" spans="1:5" x14ac:dyDescent="0.3">
      <c r="A1351" s="1">
        <f t="shared" si="21"/>
        <v>1350</v>
      </c>
      <c r="B1351" s="1">
        <v>0.98650062649497217</v>
      </c>
      <c r="C1351" s="1">
        <v>0.15400593338422819</v>
      </c>
      <c r="D1351" s="1">
        <v>6.6753142413926631E-2</v>
      </c>
      <c r="E1351" s="2">
        <f>SQRT(horizons_results_fin_use___Copy__2[[#This Row],[X (Position in AU)]]^2+horizons_results_fin_use___Copy__2[[#This Row],[Y (Position in AU)]]^2+horizons_results_fin_use___Copy__2[[#This Row],[Z (Position in AU)]]^2)</f>
        <v>1.0006784176820513</v>
      </c>
    </row>
    <row r="1352" spans="1:5" x14ac:dyDescent="0.3">
      <c r="A1352" s="1">
        <f t="shared" si="21"/>
        <v>1351</v>
      </c>
      <c r="B1352" s="1">
        <v>0.98319373644331376</v>
      </c>
      <c r="C1352" s="1">
        <v>0.1694898898546992</v>
      </c>
      <c r="D1352" s="1">
        <v>7.3465509679034743E-2</v>
      </c>
      <c r="E1352" s="2">
        <f>SQRT(horizons_results_fin_use___Copy__2[[#This Row],[X (Position in AU)]]^2+horizons_results_fin_use___Copy__2[[#This Row],[Y (Position in AU)]]^2+horizons_results_fin_use___Copy__2[[#This Row],[Z (Position in AU)]]^2)</f>
        <v>1.0003968848695615</v>
      </c>
    </row>
    <row r="1353" spans="1:5" x14ac:dyDescent="0.3">
      <c r="A1353" s="1">
        <f t="shared" si="21"/>
        <v>1352</v>
      </c>
      <c r="B1353" s="1">
        <v>0.97959495836055477</v>
      </c>
      <c r="C1353" s="1">
        <v>0.18492485063126371</v>
      </c>
      <c r="D1353" s="1">
        <v>8.0156512183196305E-2</v>
      </c>
      <c r="E1353" s="2">
        <f>SQRT(horizons_results_fin_use___Copy__2[[#This Row],[X (Position in AU)]]^2+horizons_results_fin_use___Copy__2[[#This Row],[Y (Position in AU)]]^2+horizons_results_fin_use___Copy__2[[#This Row],[Z (Position in AU)]]^2)</f>
        <v>1.0001142681072934</v>
      </c>
    </row>
    <row r="1354" spans="1:5" x14ac:dyDescent="0.3">
      <c r="A1354" s="1">
        <f t="shared" si="21"/>
        <v>1353</v>
      </c>
      <c r="B1354" s="1">
        <v>0.97570482346902176</v>
      </c>
      <c r="C1354" s="1">
        <v>0.2003059170260903</v>
      </c>
      <c r="D1354" s="1">
        <v>8.6823999575190075E-2</v>
      </c>
      <c r="E1354" s="2">
        <f>SQRT(horizons_results_fin_use___Copy__2[[#This Row],[X (Position in AU)]]^2+horizons_results_fin_use___Copy__2[[#This Row],[Y (Position in AU)]]^2+horizons_results_fin_use___Copy__2[[#This Row],[Z (Position in AU)]]^2)</f>
        <v>0.99983037053222701</v>
      </c>
    </row>
    <row r="1355" spans="1:5" x14ac:dyDescent="0.3">
      <c r="A1355" s="1">
        <f t="shared" si="21"/>
        <v>1354</v>
      </c>
      <c r="B1355" s="1">
        <v>0.97152403602020188</v>
      </c>
      <c r="C1355" s="1">
        <v>0.2156281144093791</v>
      </c>
      <c r="D1355" s="1">
        <v>9.3465797231852513E-2</v>
      </c>
      <c r="E1355" s="2">
        <f>SQRT(horizons_results_fin_use___Copy__2[[#This Row],[X (Position in AU)]]^2+horizons_results_fin_use___Copy__2[[#This Row],[Y (Position in AU)]]^2+horizons_results_fin_use___Copy__2[[#This Row],[Z (Position in AU)]]^2)</f>
        <v>0.99954504227719154</v>
      </c>
    </row>
    <row r="1356" spans="1:5" x14ac:dyDescent="0.3">
      <c r="A1356" s="1">
        <f t="shared" si="21"/>
        <v>1355</v>
      </c>
      <c r="B1356" s="1">
        <v>0.96705350830352943</v>
      </c>
      <c r="C1356" s="1">
        <v>0.2308864174460577</v>
      </c>
      <c r="D1356" s="1">
        <v>0.1000797205300316</v>
      </c>
      <c r="E1356" s="2">
        <f>SQRT(horizons_results_fin_use___Copy__2[[#This Row],[X (Position in AU)]]^2+horizons_results_fin_use___Copy__2[[#This Row],[Y (Position in AU)]]^2+horizons_results_fin_use___Copy__2[[#This Row],[Z (Position in AU)]]^2)</f>
        <v>0.99925821294828943</v>
      </c>
    </row>
    <row r="1357" spans="1:5" x14ac:dyDescent="0.3">
      <c r="A1357" s="1">
        <f t="shared" si="21"/>
        <v>1356</v>
      </c>
      <c r="B1357" s="1">
        <v>0.96229438346289964</v>
      </c>
      <c r="C1357" s="1">
        <v>0.2460757918168775</v>
      </c>
      <c r="D1357" s="1">
        <v>0.1066635950247002</v>
      </c>
      <c r="E1357" s="2">
        <f>SQRT(horizons_results_fin_use___Copy__2[[#This Row],[X (Position in AU)]]^2+horizons_results_fin_use___Copy__2[[#This Row],[Y (Position in AU)]]^2+horizons_results_fin_use___Copy__2[[#This Row],[Z (Position in AU)]]^2)</f>
        <v>0.99896991859922324</v>
      </c>
    </row>
    <row r="1358" spans="1:5" x14ac:dyDescent="0.3">
      <c r="A1358" s="1">
        <f t="shared" si="21"/>
        <v>1357</v>
      </c>
      <c r="B1358" s="1">
        <v>0.95724803634301214</v>
      </c>
      <c r="C1358" s="1">
        <v>0.261191245197963</v>
      </c>
      <c r="D1358" s="1">
        <v>0.11321527847508669</v>
      </c>
      <c r="E1358" s="2">
        <f>SQRT(horizons_results_fin_use___Copy__2[[#This Row],[X (Position in AU)]]^2+horizons_results_fin_use___Copy__2[[#This Row],[Y (Position in AU)]]^2+horizons_results_fin_use___Copy__2[[#This Row],[Z (Position in AU)]]^2)</f>
        <v>0.99868031367941079</v>
      </c>
    </row>
    <row r="1359" spans="1:5" x14ac:dyDescent="0.3">
      <c r="A1359" s="1">
        <f t="shared" si="21"/>
        <v>1358</v>
      </c>
      <c r="B1359" s="1">
        <v>0.95191604969827492</v>
      </c>
      <c r="C1359" s="1">
        <v>0.27622787497636098</v>
      </c>
      <c r="D1359" s="1">
        <v>0.11973267907173669</v>
      </c>
      <c r="E1359" s="2">
        <f>SQRT(horizons_results_fin_use___Copy__2[[#This Row],[X (Position in AU)]]^2+horizons_results_fin_use___Copy__2[[#This Row],[Y (Position in AU)]]^2+horizons_results_fin_use___Copy__2[[#This Row],[Z (Position in AU)]]^2)</f>
        <v>0.99838966291965392</v>
      </c>
    </row>
    <row r="1360" spans="1:5" x14ac:dyDescent="0.3">
      <c r="A1360" s="1">
        <f t="shared" si="21"/>
        <v>1359</v>
      </c>
      <c r="B1360" s="1">
        <v>0.94630017251179721</v>
      </c>
      <c r="C1360" s="1">
        <v>0.29118090098170918</v>
      </c>
      <c r="D1360" s="1">
        <v>0.12621376547631791</v>
      </c>
      <c r="E1360" s="2">
        <f>SQRT(horizons_results_fin_use___Copy__2[[#This Row],[X (Position in AU)]]^2+horizons_results_fin_use___Copy__2[[#This Row],[Y (Position in AU)]]^2+horizons_results_fin_use___Copy__2[[#This Row],[Z (Position in AU)]]^2)</f>
        <v>0.99809831589282239</v>
      </c>
    </row>
    <row r="1361" spans="1:5" x14ac:dyDescent="0.3">
      <c r="A1361" s="1">
        <f t="shared" si="21"/>
        <v>1360</v>
      </c>
      <c r="B1361" s="1">
        <v>0.94040227280448163</v>
      </c>
      <c r="C1361" s="1">
        <v>0.30604567811660932</v>
      </c>
      <c r="D1361" s="1">
        <v>0.1326565676738081</v>
      </c>
      <c r="E1361" s="2">
        <f>SQRT(horizons_results_fin_use___Copy__2[[#This Row],[X (Position in AU)]]^2+horizons_results_fin_use___Copy__2[[#This Row],[Y (Position in AU)]]^2+horizons_results_fin_use___Copy__2[[#This Row],[Z (Position in AU)]]^2)</f>
        <v>0.99780667302673698</v>
      </c>
    </row>
    <row r="1362" spans="1:5" x14ac:dyDescent="0.3">
      <c r="A1362" s="1">
        <f t="shared" si="21"/>
        <v>1361</v>
      </c>
      <c r="B1362" s="1">
        <v>0.93422429625754699</v>
      </c>
      <c r="C1362" s="1">
        <v>0.3208176914785143</v>
      </c>
      <c r="D1362" s="1">
        <v>0.13905917085250441</v>
      </c>
      <c r="E1362" s="2">
        <f>SQRT(horizons_results_fin_use___Copy__2[[#This Row],[X (Position in AU)]]^2+horizons_results_fin_use___Copy__2[[#This Row],[Y (Position in AU)]]^2+horizons_results_fin_use___Copy__2[[#This Row],[Z (Position in AU)]]^2)</f>
        <v>0.99751515270781632</v>
      </c>
    </row>
    <row r="1363" spans="1:5" x14ac:dyDescent="0.3">
      <c r="A1363" s="1">
        <f t="shared" si="21"/>
        <v>1362</v>
      </c>
      <c r="B1363" s="1">
        <v>0.92776823652967666</v>
      </c>
      <c r="C1363" s="1">
        <v>0.33549254089451452</v>
      </c>
      <c r="D1363" s="1">
        <v>0.14541970586255001</v>
      </c>
      <c r="E1363" s="2">
        <f>SQRT(horizons_results_fin_use___Copy__2[[#This Row],[X (Position in AU)]]^2+horizons_results_fin_use___Copy__2[[#This Row],[Y (Position in AU)]]^2+horizons_results_fin_use___Copy__2[[#This Row],[Z (Position in AU)]]^2)</f>
        <v>0.99722416565303618</v>
      </c>
    </row>
    <row r="1364" spans="1:5" x14ac:dyDescent="0.3">
      <c r="A1364" s="1">
        <f t="shared" si="21"/>
        <v>1363</v>
      </c>
      <c r="B1364" s="1">
        <v>0.9210361175921975</v>
      </c>
      <c r="C1364" s="1">
        <v>0.35006592183006618</v>
      </c>
      <c r="D1364" s="1">
        <v>0.1517363392819181</v>
      </c>
      <c r="E1364" s="2">
        <f>SQRT(horizons_results_fin_use___Copy__2[[#This Row],[X (Position in AU)]]^2+horizons_results_fin_use___Copy__2[[#This Row],[Y (Position in AU)]]^2+horizons_results_fin_use___Copy__2[[#This Row],[Z (Position in AU)]]^2)</f>
        <v>0.99693409822049905</v>
      </c>
    </row>
    <row r="1365" spans="1:5" x14ac:dyDescent="0.3">
      <c r="A1365" s="1">
        <f t="shared" si="21"/>
        <v>1364</v>
      </c>
      <c r="B1365" s="1">
        <v>0.91402998525279033</v>
      </c>
      <c r="C1365" s="1">
        <v>0.36453360725384898</v>
      </c>
      <c r="D1365" s="1">
        <v>0.15800726478930199</v>
      </c>
      <c r="E1365" s="2">
        <f>SQRT(horizons_results_fin_use___Copy__2[[#This Row],[X (Position in AU)]]^2+horizons_results_fin_use___Copy__2[[#This Row],[Y (Position in AU)]]^2+horizons_results_fin_use___Copy__2[[#This Row],[Z (Position in AU)]]^2)</f>
        <v>0.99664530324730682</v>
      </c>
    </row>
    <row r="1366" spans="1:5" x14ac:dyDescent="0.3">
      <c r="A1366" s="1">
        <f t="shared" si="21"/>
        <v>1365</v>
      </c>
      <c r="B1366" s="1">
        <v>0.90675190436327002</v>
      </c>
      <c r="C1366" s="1">
        <v>0.37889143239497619</v>
      </c>
      <c r="D1366" s="1">
        <v>0.16423069633910359</v>
      </c>
      <c r="E1366" s="2">
        <f>SQRT(horizons_results_fin_use___Copy__2[[#This Row],[X (Position in AU)]]^2+horizons_results_fin_use___Copy__2[[#This Row],[Y (Position in AU)]]^2+horizons_results_fin_use___Copy__2[[#This Row],[Z (Position in AU)]]^2)</f>
        <v>0.99635809588157631</v>
      </c>
    </row>
    <row r="1367" spans="1:5" x14ac:dyDescent="0.3">
      <c r="A1367" s="1">
        <f t="shared" si="21"/>
        <v>1366</v>
      </c>
      <c r="B1367" s="1">
        <v>0.8992039589408809</v>
      </c>
      <c r="C1367" s="1">
        <v>0.3931352825166825</v>
      </c>
      <c r="D1367" s="1">
        <v>0.17040486292487009</v>
      </c>
      <c r="E1367" s="2">
        <f>SQRT(horizons_results_fin_use___Copy__2[[#This Row],[X (Position in AU)]]^2+horizons_results_fin_use___Copy__2[[#This Row],[Y (Position in AU)]]^2+horizons_results_fin_use___Copy__2[[#This Row],[Z (Position in AU)]]^2)</f>
        <v>0.99607275208333501</v>
      </c>
    </row>
    <row r="1368" spans="1:5" x14ac:dyDescent="0.3">
      <c r="A1368" s="1">
        <f t="shared" si="21"/>
        <v>1367</v>
      </c>
      <c r="B1368" s="1">
        <v>0.8913882535624098</v>
      </c>
      <c r="C1368" s="1">
        <v>0.40726108299421232</v>
      </c>
      <c r="D1368" s="1">
        <v>0.17652800446690539</v>
      </c>
      <c r="E1368" s="2">
        <f>SQRT(horizons_results_fin_use___Copy__2[[#This Row],[X (Position in AU)]]^2+horizons_results_fin_use___Copy__2[[#This Row],[Y (Position in AU)]]^2+horizons_results_fin_use___Copy__2[[#This Row],[Z (Position in AU)]]^2)</f>
        <v>0.9957895082153303</v>
      </c>
    </row>
    <row r="1369" spans="1:5" x14ac:dyDescent="0.3">
      <c r="A1369" s="1">
        <f t="shared" si="21"/>
        <v>1368</v>
      </c>
      <c r="B1369" s="1">
        <v>0.88330691535470884</v>
      </c>
      <c r="C1369" s="1">
        <v>0.42126479084521118</v>
      </c>
      <c r="D1369" s="1">
        <v>0.1825983683929685</v>
      </c>
      <c r="E1369" s="2">
        <f>SQRT(horizons_results_fin_use___Copy__2[[#This Row],[X (Position in AU)]]^2+horizons_results_fin_use___Copy__2[[#This Row],[Y (Position in AU)]]^2+horizons_results_fin_use___Copy__2[[#This Row],[Z (Position in AU)]]^2)</f>
        <v>0.99550856091702422</v>
      </c>
    </row>
    <row r="1370" spans="1:5" x14ac:dyDescent="0.3">
      <c r="A1370" s="1">
        <f t="shared" si="21"/>
        <v>1369</v>
      </c>
      <c r="B1370" s="1">
        <v>0.87496209651026446</v>
      </c>
      <c r="C1370" s="1">
        <v>0.43514238708789948</v>
      </c>
      <c r="D1370" s="1">
        <v>0.1886142066368787</v>
      </c>
      <c r="E1370" s="2">
        <f>SQRT(horizons_results_fin_use___Copy__2[[#This Row],[X (Position in AU)]]^2+horizons_results_fin_use___Copy__2[[#This Row],[Y (Position in AU)]]^2+horizons_results_fin_use___Copy__2[[#This Row],[Z (Position in AU)]]^2)</f>
        <v>0.99523006702744465</v>
      </c>
    </row>
    <row r="1371" spans="1:5" x14ac:dyDescent="0.3">
      <c r="A1371" s="1">
        <f t="shared" si="21"/>
        <v>1370</v>
      </c>
      <c r="B1371" s="1">
        <v>0.86635597750369409</v>
      </c>
      <c r="C1371" s="1">
        <v>0.44888986964150218</v>
      </c>
      <c r="D1371" s="1">
        <v>0.1945737729492614</v>
      </c>
      <c r="E1371" s="2">
        <f>SQRT(horizons_results_fin_use___Copy__2[[#This Row],[X (Position in AU)]]^2+horizons_results_fin_use___Copy__2[[#This Row],[Y (Position in AU)]]^2+horizons_results_fin_use___Copy__2[[#This Row],[Z (Position in AU)]]^2)</f>
        <v>0.99495414363821655</v>
      </c>
    </row>
    <row r="1372" spans="1:5" x14ac:dyDescent="0.3">
      <c r="A1372" s="1">
        <f t="shared" si="21"/>
        <v>1371</v>
      </c>
      <c r="B1372" s="1">
        <v>0.8574907711620261</v>
      </c>
      <c r="C1372" s="1">
        <v>0.46250324676735011</v>
      </c>
      <c r="D1372" s="1">
        <v>0.20047532053412401</v>
      </c>
      <c r="E1372" s="2">
        <f>SQRT(horizons_results_fin_use___Copy__2[[#This Row],[X (Position in AU)]]^2+horizons_results_fin_use___Copy__2[[#This Row],[Y (Position in AU)]]^2+horizons_results_fin_use___Copy__2[[#This Row],[Z (Position in AU)]]^2)</f>
        <v>0.99468086844054981</v>
      </c>
    </row>
    <row r="1373" spans="1:5" x14ac:dyDescent="0.3">
      <c r="A1373" s="1">
        <f t="shared" si="21"/>
        <v>1372</v>
      </c>
      <c r="B1373" s="1">
        <v>0.84836872757294779</v>
      </c>
      <c r="C1373" s="1">
        <v>0.47597853118395161</v>
      </c>
      <c r="D1373" s="1">
        <v>0.20631710006633039</v>
      </c>
      <c r="E1373" s="2">
        <f>SQRT(horizons_results_fin_use___Copy__2[[#This Row],[X (Position in AU)]]^2+horizons_results_fin_use___Copy__2[[#This Row],[Y (Position in AU)]]^2+horizons_results_fin_use___Copy__2[[#This Row],[Z (Position in AU)]]^2)</f>
        <v>0.99441028044341673</v>
      </c>
    </row>
    <row r="1374" spans="1:5" x14ac:dyDescent="0.3">
      <c r="A1374" s="1">
        <f t="shared" si="21"/>
        <v>1373</v>
      </c>
      <c r="B1374" s="1">
        <v>0.83899213963551944</v>
      </c>
      <c r="C1374" s="1">
        <v>0.48931173494950209</v>
      </c>
      <c r="D1374" s="1">
        <v>0.21209735811051139</v>
      </c>
      <c r="E1374" s="2">
        <f>SQRT(horizons_results_fin_use___Copy__2[[#This Row],[X (Position in AU)]]^2+horizons_results_fin_use___Copy__2[[#This Row],[Y (Position in AU)]]^2+horizons_results_fin_use___Copy__2[[#This Row],[Z (Position in AU)]]^2)</f>
        <v>0.99414238097313667</v>
      </c>
    </row>
    <row r="1375" spans="1:5" x14ac:dyDescent="0.3">
      <c r="A1375" s="1">
        <f t="shared" si="21"/>
        <v>1374</v>
      </c>
      <c r="B1375" s="1">
        <v>0.8293633489848603</v>
      </c>
      <c r="C1375" s="1">
        <v>0.5024988650273513</v>
      </c>
      <c r="D1375" s="1">
        <v>0.21781433587872109</v>
      </c>
      <c r="E1375" s="2">
        <f>SQRT(horizons_results_fin_use___Copy__2[[#This Row],[X (Position in AU)]]^2+horizons_results_fin_use___Copy__2[[#This Row],[Y (Position in AU)]]^2+horizons_results_fin_use___Copy__2[[#This Row],[Z (Position in AU)]]^2)</f>
        <v>0.99387713471406902</v>
      </c>
    </row>
    <row r="1376" spans="1:5" x14ac:dyDescent="0.3">
      <c r="A1376" s="1">
        <f t="shared" si="21"/>
        <v>1375</v>
      </c>
      <c r="B1376" s="1">
        <v>0.81948475213216954</v>
      </c>
      <c r="C1376" s="1">
        <v>0.51553591921817021</v>
      </c>
      <c r="D1376" s="1">
        <v>0.22346626817583631</v>
      </c>
      <c r="E1376" s="2">
        <f>SQRT(horizons_results_fin_use___Copy__2[[#This Row],[X (Position in AU)]]^2+horizons_results_fin_use___Copy__2[[#This Row],[Y (Position in AU)]]^2+horizons_results_fin_use___Copy__2[[#This Row],[Z (Position in AU)]]^2)</f>
        <v>0.99361447050336471</v>
      </c>
    </row>
    <row r="1377" spans="1:5" x14ac:dyDescent="0.3">
      <c r="A1377" s="1">
        <f t="shared" si="21"/>
        <v>1376</v>
      </c>
      <c r="B1377" s="1">
        <v>0.80935880697702667</v>
      </c>
      <c r="C1377" s="1">
        <v>0.52841888196775777</v>
      </c>
      <c r="D1377" s="1">
        <v>0.2290513823378946</v>
      </c>
      <c r="E1377" s="2">
        <f>SQRT(horizons_results_fin_use___Copy__2[[#This Row],[X (Position in AU)]]^2+horizons_results_fin_use___Copy__2[[#This Row],[Y (Position in AU)]]^2+horizons_results_fin_use___Copy__2[[#This Row],[Z (Position in AU)]]^2)</f>
        <v>0.99335428171535634</v>
      </c>
    </row>
    <row r="1378" spans="1:5" x14ac:dyDescent="0.3">
      <c r="A1378" s="1">
        <f t="shared" si="21"/>
        <v>1377</v>
      </c>
      <c r="B1378" s="1">
        <v>0.79898804033987092</v>
      </c>
      <c r="C1378" s="1">
        <v>0.5411437195620038</v>
      </c>
      <c r="D1378" s="1">
        <v>0.23456789701778519</v>
      </c>
      <c r="E1378" s="2">
        <f>SQRT(horizons_results_fin_use___Copy__2[[#This Row],[X (Position in AU)]]^2+horizons_results_fin_use___Copy__2[[#This Row],[Y (Position in AU)]]^2+horizons_results_fin_use___Copy__2[[#This Row],[Z (Position in AU)]]^2)</f>
        <v>0.99309642640525808</v>
      </c>
    </row>
    <row r="1379" spans="1:5" x14ac:dyDescent="0.3">
      <c r="A1379" s="1">
        <f t="shared" si="21"/>
        <v>1378</v>
      </c>
      <c r="B1379" s="1">
        <v>0.78837505773968408</v>
      </c>
      <c r="C1379" s="1">
        <v>0.55370637452933547</v>
      </c>
      <c r="D1379" s="1">
        <v>0.24001402086108459</v>
      </c>
      <c r="E1379" s="2">
        <f>SQRT(horizons_results_fin_use___Copy__2[[#This Row],[X (Position in AU)]]^2+horizons_results_fin_use___Copy__2[[#This Row],[Y (Position in AU)]]^2+horizons_results_fin_use___Copy__2[[#This Row],[Z (Position in AU)]]^2)</f>
        <v>0.99284072794702383</v>
      </c>
    </row>
    <row r="1380" spans="1:5" x14ac:dyDescent="0.3">
      <c r="A1380" s="1">
        <f t="shared" si="21"/>
        <v>1379</v>
      </c>
      <c r="B1380" s="1">
        <v>0.77752255712112095</v>
      </c>
      <c r="C1380" s="1">
        <v>0.56610275981791047</v>
      </c>
      <c r="D1380" s="1">
        <v>0.2453879514804089</v>
      </c>
      <c r="E1380" s="2">
        <f>SQRT(horizons_results_fin_use___Copy__2[[#This Row],[X (Position in AU)]]^2+horizons_results_fin_use___Copy__2[[#This Row],[Y (Position in AU)]]^2+horizons_results_fin_use___Copy__2[[#This Row],[Z (Position in AU)]]^2)</f>
        <v>0.9925869776686439</v>
      </c>
    </row>
    <row r="1381" spans="1:5" x14ac:dyDescent="0.3">
      <c r="A1381" s="1">
        <f t="shared" si="21"/>
        <v>1380</v>
      </c>
      <c r="B1381" s="1">
        <v>0.76643334826813247</v>
      </c>
      <c r="C1381" s="1">
        <v>0.57832875457952737</v>
      </c>
      <c r="D1381" s="1">
        <v>0.25068787567895828</v>
      </c>
      <c r="E1381" s="2">
        <f>SQRT(horizons_results_fin_use___Copy__2[[#This Row],[X (Position in AU)]]^2+horizons_results_fin_use___Copy__2[[#This Row],[Y (Position in AU)]]^2+horizons_results_fin_use___Copy__2[[#This Row],[Z (Position in AU)]]^2)</f>
        <v>0.99233494180313764</v>
      </c>
    </row>
    <row r="1382" spans="1:5" x14ac:dyDescent="0.3">
      <c r="A1382" s="1">
        <f t="shared" si="21"/>
        <v>1381</v>
      </c>
      <c r="B1382" s="1">
        <v>0.75511037867964326</v>
      </c>
      <c r="C1382" s="1">
        <v>0.59038020502777966</v>
      </c>
      <c r="D1382" s="1">
        <v>0.25591197247627812</v>
      </c>
      <c r="E1382" s="2">
        <f>SQRT(horizons_results_fin_use___Copy__2[[#This Row],[X (Position in AU)]]^2+horizons_results_fin_use___Copy__2[[#This Row],[Y (Position in AU)]]^2+horizons_results_fin_use___Copy__2[[#This Row],[Z (Position in AU)]]^2)</f>
        <v>0.9920843755120109</v>
      </c>
    </row>
    <row r="1383" spans="1:5" x14ac:dyDescent="0.3">
      <c r="A1383" s="1">
        <f t="shared" si="21"/>
        <v>1382</v>
      </c>
      <c r="B1383" s="1">
        <v>0.7435567641682973</v>
      </c>
      <c r="C1383" s="1">
        <v>0.60225293517317413</v>
      </c>
      <c r="D1383" s="1">
        <v>0.2610584208104737</v>
      </c>
      <c r="E1383" s="2">
        <f>SQRT(horizons_results_fin_use___Copy__2[[#This Row],[X (Position in AU)]]^2+horizons_results_fin_use___Copy__2[[#This Row],[Y (Position in AU)]]^2+horizons_results_fin_use___Copy__2[[#This Row],[Z (Position in AU)]]^2)</f>
        <v>0.99183504603396155</v>
      </c>
    </row>
    <row r="1384" spans="1:5" x14ac:dyDescent="0.3">
      <c r="A1384" s="1">
        <f t="shared" si="21"/>
        <v>1383</v>
      </c>
      <c r="B1384" s="1">
        <v>0.73177581844937412</v>
      </c>
      <c r="C1384" s="1">
        <v>0.61394277190766444</v>
      </c>
      <c r="D1384" s="1">
        <v>0.2661254132566736</v>
      </c>
      <c r="E1384" s="2">
        <f>SQRT(horizons_results_fin_use___Copy__2[[#This Row],[X (Position in AU)]]^2+horizons_results_fin_use___Copy__2[[#This Row],[Y (Position in AU)]]^2+horizons_results_fin_use___Copy__2[[#This Row],[Z (Position in AU)]]^2)</f>
        <v>0.99158676434589088</v>
      </c>
    </row>
    <row r="1385" spans="1:5" x14ac:dyDescent="0.3">
      <c r="A1385" s="1">
        <f t="shared" si="21"/>
        <v>1384</v>
      </c>
      <c r="B1385" s="1">
        <v>0.71977107214952896</v>
      </c>
      <c r="C1385" s="1">
        <v>0.62544558543212392</v>
      </c>
      <c r="D1385" s="1">
        <v>0.2711111752405671</v>
      </c>
      <c r="E1385" s="2">
        <f>SQRT(horizons_results_fin_use___Copy__2[[#This Row],[X (Position in AU)]]^2+horizons_results_fin_use___Copy__2[[#This Row],[Y (Position in AU)]]^2+horizons_results_fin_use___Copy__2[[#This Row],[Z (Position in AU)]]^2)</f>
        <v>0.9913394201685598</v>
      </c>
    </row>
    <row r="1386" spans="1:5" x14ac:dyDescent="0.3">
      <c r="A1386" s="1">
        <f t="shared" si="21"/>
        <v>1385</v>
      </c>
      <c r="B1386" s="1">
        <v>0.70754627122838554</v>
      </c>
      <c r="C1386" s="1">
        <v>0.63675733949816382</v>
      </c>
      <c r="D1386" s="1">
        <v>0.27601398640315589</v>
      </c>
      <c r="E1386" s="2">
        <f>SQRT(horizons_results_fin_use___Copy__2[[#This Row],[X (Position in AU)]]^2+horizons_results_fin_use___Copy__2[[#This Row],[Y (Position in AU)]]^2+horizons_results_fin_use___Copy__2[[#This Row],[Z (Position in AU)]]^2)</f>
        <v>0.99109301078361645</v>
      </c>
    </row>
    <row r="1387" spans="1:5" x14ac:dyDescent="0.3">
      <c r="A1387" s="1">
        <f t="shared" si="21"/>
        <v>1386</v>
      </c>
      <c r="B1387" s="1">
        <v>0.69510535030517884</v>
      </c>
      <c r="C1387" s="1">
        <v>0.64787413961222939</v>
      </c>
      <c r="D1387" s="1">
        <v>0.28083219862005449</v>
      </c>
      <c r="E1387" s="2">
        <f>SQRT(horizons_results_fin_use___Copy__2[[#This Row],[X (Position in AU)]]^2+horizons_results_fin_use___Copy__2[[#This Row],[Y (Position in AU)]]^2+horizons_results_fin_use___Copy__2[[#This Row],[Z (Position in AU)]]^2)</f>
        <v>0.99084765356887516</v>
      </c>
    </row>
    <row r="1388" spans="1:5" x14ac:dyDescent="0.3">
      <c r="A1388" s="1">
        <f t="shared" si="21"/>
        <v>1387</v>
      </c>
      <c r="B1388" s="1">
        <v>0.68245238608954173</v>
      </c>
      <c r="C1388" s="1">
        <v>0.65879226613799113</v>
      </c>
      <c r="D1388" s="1">
        <v>0.28556424561941268</v>
      </c>
      <c r="E1388" s="2">
        <f>SQRT(horizons_results_fin_use___Copy__2[[#This Row],[X (Position in AU)]]^2+horizons_results_fin_use___Copy__2[[#This Row],[Y (Position in AU)]]^2+horizons_results_fin_use___Copy__2[[#This Row],[Z (Position in AU)]]^2)</f>
        <v>0.99060357741062233</v>
      </c>
    </row>
    <row r="1389" spans="1:5" x14ac:dyDescent="0.3">
      <c r="A1389" s="1">
        <f t="shared" si="21"/>
        <v>1388</v>
      </c>
      <c r="B1389" s="1">
        <v>0.66959154392042608</v>
      </c>
      <c r="C1389" s="1">
        <v>0.6695081850311696</v>
      </c>
      <c r="D1389" s="1">
        <v>0.29020864238381638</v>
      </c>
      <c r="E1389" s="2">
        <f>SQRT(horizons_results_fin_use___Copy__2[[#This Row],[X (Position in AU)]]^2+horizons_results_fin_use___Copy__2[[#This Row],[Y (Position in AU)]]^2+horizons_results_fin_use___Copy__2[[#This Row],[Z (Position in AU)]]^2)</f>
        <v>0.99036109658433602</v>
      </c>
    </row>
    <row r="1390" spans="1:5" x14ac:dyDescent="0.3">
      <c r="A1390" s="1">
        <f t="shared" si="21"/>
        <v>1389</v>
      </c>
      <c r="B1390" s="1">
        <v>0.65652703113618949</v>
      </c>
      <c r="C1390" s="1">
        <v>0.68001853798725798</v>
      </c>
      <c r="D1390" s="1">
        <v>0.29476397644881192</v>
      </c>
      <c r="E1390" s="2">
        <f>SQRT(horizons_results_fin_use___Copy__2[[#This Row],[X (Position in AU)]]^2+horizons_results_fin_use___Copy__2[[#This Row],[Y (Position in AU)]]^2+horizons_results_fin_use___Copy__2[[#This Row],[Z (Position in AU)]]^2)</f>
        <v>0.99012057671313081</v>
      </c>
    </row>
    <row r="1391" spans="1:5" x14ac:dyDescent="0.3">
      <c r="A1391" s="1">
        <f t="shared" si="21"/>
        <v>1390</v>
      </c>
      <c r="B1391" s="1">
        <v>0.64326306526372368</v>
      </c>
      <c r="C1391" s="1">
        <v>0.69032012013046462</v>
      </c>
      <c r="D1391" s="1">
        <v>0.2992288953515253</v>
      </c>
      <c r="E1391" s="2">
        <f>SQRT(horizons_results_fin_use___Copy__2[[#This Row],[X (Position in AU)]]^2+horizons_results_fin_use___Copy__2[[#This Row],[Y (Position in AU)]]^2+horizons_results_fin_use___Copy__2[[#This Row],[Z (Position in AU)]]^2)</f>
        <v>0.9898824027139359</v>
      </c>
    </row>
    <row r="1392" spans="1:5" x14ac:dyDescent="0.3">
      <c r="A1392" s="1">
        <f t="shared" si="21"/>
        <v>1391</v>
      </c>
      <c r="B1392" s="1">
        <v>0.6298038577618239</v>
      </c>
      <c r="C1392" s="1">
        <v>0.70040985431605685</v>
      </c>
      <c r="D1392" s="1">
        <v>0.30360209417042611</v>
      </c>
      <c r="E1392" s="2">
        <f>SQRT(horizons_results_fin_use___Copy__2[[#This Row],[X (Position in AU)]]^2+horizons_results_fin_use___Copy__2[[#This Row],[Y (Position in AU)]]^2+horizons_results_fin_use___Copy__2[[#This Row],[Z (Position in AU)]]^2)</f>
        <v>0.98964695465574193</v>
      </c>
    </row>
    <row r="1393" spans="1:5" x14ac:dyDescent="0.3">
      <c r="A1393" s="1">
        <f t="shared" si="21"/>
        <v>1392</v>
      </c>
      <c r="B1393" s="1">
        <v>0.61615360941673858</v>
      </c>
      <c r="C1393" s="1">
        <v>0.71028476825334919</v>
      </c>
      <c r="D1393" s="1">
        <v>0.30788230541891398</v>
      </c>
      <c r="E1393" s="2">
        <f>SQRT(horizons_results_fin_use___Copy__2[[#This Row],[X (Position in AU)]]^2+horizons_results_fin_use___Copy__2[[#This Row],[Y (Position in AU)]]^2+horizons_results_fin_use___Copy__2[[#This Row],[Z (Position in AU)]]^2)</f>
        <v>0.98941459277698862</v>
      </c>
    </row>
    <row r="1394" spans="1:5" x14ac:dyDescent="0.3">
      <c r="A1394" s="1">
        <f t="shared" si="21"/>
        <v>1393</v>
      </c>
      <c r="B1394" s="1">
        <v>0.60231651230961558</v>
      </c>
      <c r="C1394" s="1">
        <v>0.71994197697348983</v>
      </c>
      <c r="D1394" s="1">
        <v>0.31206829186913082</v>
      </c>
      <c r="E1394" s="2">
        <f>SQRT(horizons_results_fin_use___Copy__2[[#This Row],[X (Position in AU)]]^2+horizons_results_fin_use___Copy__2[[#This Row],[Y (Position in AU)]]^2+horizons_results_fin_use___Copy__2[[#This Row],[Z (Position in AU)]]^2)</f>
        <v>0.98918564991584534</v>
      </c>
    </row>
    <row r="1395" spans="1:5" x14ac:dyDescent="0.3">
      <c r="A1395" s="1">
        <f t="shared" si="21"/>
        <v>1394</v>
      </c>
      <c r="B1395" s="1">
        <v>0.58829675426336026</v>
      </c>
      <c r="C1395" s="1">
        <v>0.72937867051862926</v>
      </c>
      <c r="D1395" s="1">
        <v>0.31615884185098803</v>
      </c>
      <c r="E1395" s="2">
        <f>SQRT(horizons_results_fin_use___Copy__2[[#This Row],[X (Position in AU)]]^2+horizons_results_fin_use___Copy__2[[#This Row],[Y (Position in AU)]]^2+horizons_results_fin_use___Copy__2[[#This Row],[Z (Position in AU)]]^2)</f>
        <v>0.98896042861425226</v>
      </c>
    </row>
    <row r="1396" spans="1:5" x14ac:dyDescent="0.3">
      <c r="A1396" s="1">
        <f t="shared" si="21"/>
        <v>1395</v>
      </c>
      <c r="B1396" s="1">
        <v>0.57409852332280575</v>
      </c>
      <c r="C1396" s="1">
        <v>0.73859210547323428</v>
      </c>
      <c r="D1396" s="1">
        <v>0.32015276619824667</v>
      </c>
      <c r="E1396" s="2">
        <f>SQRT(horizons_results_fin_use___Copy__2[[#This Row],[X (Position in AU)]]^2+horizons_results_fin_use___Copy__2[[#This Row],[Y (Position in AU)]]^2+horizons_results_fin_use___Copy__2[[#This Row],[Z (Position in AU)]]^2)</f>
        <v>0.98873920042304408</v>
      </c>
    </row>
    <row r="1397" spans="1:5" x14ac:dyDescent="0.3">
      <c r="A1397" s="1">
        <f t="shared" si="21"/>
        <v>1396</v>
      </c>
      <c r="B1397" s="1">
        <v>0.55972601126879074</v>
      </c>
      <c r="C1397" s="1">
        <v>0.74757959870543267</v>
      </c>
      <c r="D1397" s="1">
        <v>0.32404889604823017</v>
      </c>
      <c r="E1397" s="2">
        <f>SQRT(horizons_results_fin_use___Copy__2[[#This Row],[X (Position in AU)]]^2+horizons_results_fin_use___Copy__2[[#This Row],[Y (Position in AU)]]^2+horizons_results_fin_use___Copy__2[[#This Row],[Z (Position in AU)]]^2)</f>
        <v>0.98852220567952997</v>
      </c>
    </row>
    <row r="1398" spans="1:5" x14ac:dyDescent="0.3">
      <c r="A1398" s="1">
        <f t="shared" si="21"/>
        <v>1397</v>
      </c>
      <c r="B1398" s="1">
        <v>0.5451834161502066</v>
      </c>
      <c r="C1398" s="1">
        <v>0.75633852195778628</v>
      </c>
      <c r="D1398" s="1">
        <v>0.32784608091440082</v>
      </c>
      <c r="E1398" s="2">
        <f>SQRT(horizons_results_fin_use___Copy__2[[#This Row],[X (Position in AU)]]^2+horizons_results_fin_use___Copy__2[[#This Row],[Y (Position in AU)]]^2+horizons_results_fin_use___Copy__2[[#This Row],[Z (Position in AU)]]^2)</f>
        <v>0.98830965279786165</v>
      </c>
    </row>
    <row r="1399" spans="1:5" x14ac:dyDescent="0.3">
      <c r="A1399" s="1">
        <f t="shared" si="21"/>
        <v>1398</v>
      </c>
      <c r="B1399" s="1">
        <v>0.5304749443616994</v>
      </c>
      <c r="C1399" s="1">
        <v>0.7648662963987044</v>
      </c>
      <c r="D1399" s="1">
        <v>0.33154318670564942</v>
      </c>
      <c r="E1399" s="2">
        <f>SQRT(horizons_results_fin_use___Copy__2[[#This Row],[X (Position in AU)]]^2+horizons_results_fin_use___Copy__2[[#This Row],[Y (Position in AU)]]^2+horizons_results_fin_use___Copy__2[[#This Row],[Z (Position in AU)]]^2)</f>
        <v>0.98810171673424185</v>
      </c>
    </row>
    <row r="1400" spans="1:5" x14ac:dyDescent="0.3">
      <c r="A1400" s="1">
        <f t="shared" si="21"/>
        <v>1399</v>
      </c>
      <c r="B1400" s="1">
        <v>0.51560481299428684</v>
      </c>
      <c r="C1400" s="1">
        <v>0.77316038674259235</v>
      </c>
      <c r="D1400" s="1">
        <v>0.33513909359741489</v>
      </c>
      <c r="E1400" s="2">
        <f>SQRT(horizons_results_fin_use___Copy__2[[#This Row],[X (Position in AU)]]^2+horizons_results_fin_use___Copy__2[[#This Row],[Y (Position in AU)]]^2+horizons_results_fin_use___Copy__2[[#This Row],[Z (Position in AU)]]^2)</f>
        <v>0.98789853672739347</v>
      </c>
    </row>
    <row r="1401" spans="1:5" x14ac:dyDescent="0.3">
      <c r="A1401" s="1">
        <f t="shared" si="21"/>
        <v>1400</v>
      </c>
      <c r="B1401" s="1">
        <v>0.50057725313241985</v>
      </c>
      <c r="C1401" s="1">
        <v>0.7812182949722859</v>
      </c>
      <c r="D1401" s="1">
        <v>0.33863269383546751</v>
      </c>
      <c r="E1401" s="2">
        <f>SQRT(horizons_results_fin_use___Copy__2[[#This Row],[X (Position in AU)]]^2+horizons_results_fin_use___Copy__2[[#This Row],[Y (Position in AU)]]^2+horizons_results_fin_use___Copy__2[[#This Row],[Z (Position in AU)]]^2)</f>
        <v>0.98770021367177485</v>
      </c>
    </row>
    <row r="1402" spans="1:5" x14ac:dyDescent="0.3">
      <c r="A1402" s="1">
        <f t="shared" si="21"/>
        <v>1401</v>
      </c>
      <c r="B1402" s="1">
        <v>0.48539651455067651</v>
      </c>
      <c r="C1402" s="1">
        <v>0.78903755398630793</v>
      </c>
      <c r="D1402" s="1">
        <v>0.3420228896542275</v>
      </c>
      <c r="E1402" s="2">
        <f>SQRT(horizons_results_fin_use___Copy__2[[#This Row],[X (Position in AU)]]^2+horizons_results_fin_use___Copy__2[[#This Row],[Y (Position in AU)]]^2+horizons_results_fin_use___Copy__2[[#This Row],[Z (Position in AU)]]^2)</f>
        <v>0.98750680756441811</v>
      </c>
    </row>
    <row r="1403" spans="1:5" x14ac:dyDescent="0.3">
      <c r="A1403" s="1">
        <f t="shared" si="21"/>
        <v>1402</v>
      </c>
      <c r="B1403" s="1">
        <v>0.4700668719779057</v>
      </c>
      <c r="C1403" s="1">
        <v>0.79661572160587879</v>
      </c>
      <c r="D1403" s="1">
        <v>0.34530859151090398</v>
      </c>
      <c r="E1403" s="2">
        <f>SQRT(horizons_results_fin_use___Copy__2[[#This Row],[X (Position in AU)]]^2+horizons_results_fin_use___Copy__2[[#This Row],[Y (Position in AU)]]^2+horizons_results_fin_use___Copy__2[[#This Row],[Z (Position in AU)]]^2)</f>
        <v>0.98731833539745029</v>
      </c>
    </row>
    <row r="1404" spans="1:5" x14ac:dyDescent="0.3">
      <c r="A1404" s="1">
        <f t="shared" si="21"/>
        <v>1403</v>
      </c>
      <c r="B1404" s="1">
        <v>0.45459263286341561</v>
      </c>
      <c r="C1404" s="1">
        <v>0.80395037531617242</v>
      </c>
      <c r="D1404" s="1">
        <v>0.34848871678778581</v>
      </c>
      <c r="E1404" s="2">
        <f>SQRT(horizons_results_fin_use___Copy__2[[#This Row],[X (Position in AU)]]^2+horizons_results_fin_use___Copy__2[[#This Row],[Y (Position in AU)]]^2+horizons_results_fin_use___Copy__2[[#This Row],[Z (Position in AU)]]^2)</f>
        <v>0.98713476970123193</v>
      </c>
    </row>
    <row r="1405" spans="1:5" x14ac:dyDescent="0.3">
      <c r="A1405" s="1">
        <f t="shared" si="21"/>
        <v>1404</v>
      </c>
      <c r="B1405" s="1">
        <v>0.43897814650413569</v>
      </c>
      <c r="C1405" s="1">
        <v>0.81103910794883716</v>
      </c>
      <c r="D1405" s="1">
        <v>0.35156218903625619</v>
      </c>
      <c r="E1405" s="2">
        <f>SQRT(horizons_results_fin_use___Copy__2[[#This Row],[X (Position in AU)]]^2+horizons_results_fin_use___Copy__2[[#This Row],[Y (Position in AU)]]^2+horizons_results_fin_use___Copy__2[[#This Row],[Z (Position in AU)]]^2)</f>
        <v>0.98695603776997909</v>
      </c>
    </row>
    <row r="1406" spans="1:5" x14ac:dyDescent="0.3">
      <c r="A1406" s="1">
        <f t="shared" si="21"/>
        <v>1405</v>
      </c>
      <c r="B1406" s="1">
        <v>0.42322781452461322</v>
      </c>
      <c r="C1406" s="1">
        <v>0.81787952436312161</v>
      </c>
      <c r="D1406" s="1">
        <v>0.35452793778563918</v>
      </c>
      <c r="E1406" s="2">
        <f>SQRT(horizons_results_fin_use___Copy__2[[#This Row],[X (Position in AU)]]^2+horizons_results_fin_use___Copy__2[[#This Row],[Y (Position in AU)]]^2+horizons_results_fin_use___Copy__2[[#This Row],[Z (Position in AU)]]^2)</f>
        <v>0.98678202153781891</v>
      </c>
    </row>
    <row r="1407" spans="1:5" x14ac:dyDescent="0.3">
      <c r="A1407" s="1">
        <f t="shared" si="21"/>
        <v>1406</v>
      </c>
      <c r="B1407" s="1">
        <v>0.40734610300271229</v>
      </c>
      <c r="C1407" s="1">
        <v>0.82446923920578974</v>
      </c>
      <c r="D1407" s="1">
        <v>0.35738489897958231</v>
      </c>
      <c r="E1407" s="2">
        <f>SQRT(horizons_results_fin_use___Copy__2[[#This Row],[X (Position in AU)]]^2+horizons_results_fin_use___Copy__2[[#This Row],[Y (Position in AU)]]^2+horizons_results_fin_use___Copy__2[[#This Row],[Z (Position in AU)]]^2)</f>
        <v>0.98661255822471483</v>
      </c>
    </row>
    <row r="1408" spans="1:5" x14ac:dyDescent="0.3">
      <c r="A1408" s="1">
        <f t="shared" si="21"/>
        <v>1407</v>
      </c>
      <c r="B1408" s="1">
        <v>0.39133755684936122</v>
      </c>
      <c r="C1408" s="1">
        <v>0.83080587616481949</v>
      </c>
      <c r="D1408" s="1">
        <v>0.36013201627614849</v>
      </c>
      <c r="E1408" s="2">
        <f>SQRT(horizons_results_fin_use___Copy__2[[#This Row],[X (Position in AU)]]^2+horizons_results_fin_use___Copy__2[[#This Row],[Y (Position in AU)]]^2+horizons_results_fin_use___Copy__2[[#This Row],[Z (Position in AU)]]^2)</f>
        <v>0.98644744229885073</v>
      </c>
    </row>
    <row r="1409" spans="1:5" x14ac:dyDescent="0.3">
      <c r="A1409" s="1">
        <f t="shared" si="21"/>
        <v>1408</v>
      </c>
      <c r="B1409" s="1">
        <v>0.37520681710944109</v>
      </c>
      <c r="C1409" s="1">
        <v>0.83688706984093864</v>
      </c>
      <c r="D1409" s="1">
        <v>0.36276824375448591</v>
      </c>
      <c r="E1409" s="2">
        <f>SQRT(horizons_results_fin_use___Copy__2[[#This Row],[X (Position in AU)]]^2+horizons_results_fin_use___Copy__2[[#This Row],[Y (Position in AU)]]^2+horizons_results_fin_use___Copy__2[[#This Row],[Z (Position in AU)]]^2)</f>
        <v>0.98628642997309046</v>
      </c>
    </row>
    <row r="1410" spans="1:5" x14ac:dyDescent="0.3">
      <c r="A1410" s="1">
        <f t="shared" si="21"/>
        <v>1409</v>
      </c>
      <c r="B1410" s="1">
        <v>0.358958641282628</v>
      </c>
      <c r="C1410" s="1">
        <v>0.8427104723356641</v>
      </c>
      <c r="D1410" s="1">
        <v>0.36529255092758561</v>
      </c>
      <c r="E1410" s="2">
        <f>SQRT(horizons_results_fin_use___Copy__2[[#This Row],[X (Position in AU)]]^2+horizons_results_fin_use___Copy__2[[#This Row],[Y (Position in AU)]]^2+horizons_results_fin_use___Copy__2[[#This Row],[Z (Position in AU)]]^2)</f>
        <v>0.98612924817127867</v>
      </c>
    </row>
    <row r="1411" spans="1:5" x14ac:dyDescent="0.3">
      <c r="A1411" s="1">
        <f t="shared" si="21"/>
        <v>1410</v>
      </c>
      <c r="B1411" s="1">
        <v>0.34259792521653482</v>
      </c>
      <c r="C1411" s="1">
        <v>0.84827376747565841</v>
      </c>
      <c r="D1411" s="1">
        <v>0.36770393115422811</v>
      </c>
      <c r="E1411" s="2">
        <f>SQRT(horizons_results_fin_use___Copy__2[[#This Row],[X (Position in AU)]]^2+horizons_results_fin_use___Copy__2[[#This Row],[Y (Position in AU)]]^2+horizons_results_fin_use___Copy__2[[#This Row],[Z (Position in AU)]]^2)</f>
        <v>0.98597561021370861</v>
      </c>
    </row>
    <row r="1412" spans="1:5" x14ac:dyDescent="0.3">
      <c r="A1412" s="1">
        <f t="shared" ref="A1412:A1463" si="22">A1411+1</f>
        <v>1411</v>
      </c>
      <c r="B1412" s="1">
        <v>0.32612972259178941</v>
      </c>
      <c r="C1412" s="1">
        <v>0.85357469543809383</v>
      </c>
      <c r="D1412" s="1">
        <v>0.3700014142237254</v>
      </c>
      <c r="E1412" s="2">
        <f>SQRT(horizons_results_fin_use___Copy__2[[#This Row],[X (Position in AU)]]^2+horizons_results_fin_use___Copy__2[[#This Row],[Y (Position in AU)]]^2+horizons_results_fin_use___Copy__2[[#This Row],[Z (Position in AU)]]^2)</f>
        <v>0.98582523967363966</v>
      </c>
    </row>
    <row r="1413" spans="1:5" x14ac:dyDescent="0.3">
      <c r="A1413" s="1">
        <f t="shared" si="22"/>
        <v>1412</v>
      </c>
      <c r="B1413" s="1">
        <v>0.3095592553598846</v>
      </c>
      <c r="C1413" s="1">
        <v>0.85861108841894784</v>
      </c>
      <c r="D1413" s="1">
        <v>0.3721840827199519</v>
      </c>
      <c r="E1413" s="2">
        <f>SQRT(horizons_results_fin_use___Copy__2[[#This Row],[X (Position in AU)]]^2+horizons_results_fin_use___Copy__2[[#This Row],[Y (Position in AU)]]^2+horizons_results_fin_use___Copy__2[[#This Row],[Z (Position in AU)]]^2)</f>
        <v>0.98567790132731925</v>
      </c>
    </row>
    <row r="1414" spans="1:5" x14ac:dyDescent="0.3">
      <c r="A1414" s="1">
        <f t="shared" si="22"/>
        <v>1413</v>
      </c>
      <c r="B1414" s="1">
        <v>0.29289190768472562</v>
      </c>
      <c r="C1414" s="1">
        <v>0.86338091361531177</v>
      </c>
      <c r="D1414" s="1">
        <v>0.37425108983528249</v>
      </c>
      <c r="E1414" s="2">
        <f>SQRT(horizons_results_fin_use___Copy__2[[#This Row],[X (Position in AU)]]^2+horizons_results_fin_use___Copy__2[[#This Row],[Y (Position in AU)]]^2+horizons_results_fin_use___Copy__2[[#This Row],[Z (Position in AU)]]^2)</f>
        <v>0.98553343414889027</v>
      </c>
    </row>
    <row r="1415" spans="1:5" x14ac:dyDescent="0.3">
      <c r="A1415" s="1">
        <f t="shared" si="22"/>
        <v>1414</v>
      </c>
      <c r="B1415" s="1">
        <v>0.27613319910189632</v>
      </c>
      <c r="C1415" s="1">
        <v>0.86788231478321554</v>
      </c>
      <c r="D1415" s="1">
        <v>0.37620167449624181</v>
      </c>
      <c r="E1415" s="2">
        <f>SQRT(horizons_results_fin_use___Copy__2[[#This Row],[X (Position in AU)]]^2+horizons_results_fin_use___Copy__2[[#This Row],[Y (Position in AU)]]^2+horizons_results_fin_use___Copy__2[[#This Row],[Z (Position in AU)]]^2)</f>
        <v>0.98539177784954957</v>
      </c>
    </row>
    <row r="1416" spans="1:5" x14ac:dyDescent="0.3">
      <c r="A1416" s="1">
        <f t="shared" si="22"/>
        <v>1415</v>
      </c>
      <c r="B1416" s="1">
        <v>0.25928873969910737</v>
      </c>
      <c r="C1416" s="1">
        <v>0.87211364141198611</v>
      </c>
      <c r="D1416" s="1">
        <v>0.37803516943094689</v>
      </c>
      <c r="E1416" s="2">
        <f>SQRT(horizons_results_fin_use___Copy__2[[#This Row],[X (Position in AU)]]^2+horizons_results_fin_use___Copy__2[[#This Row],[Y (Position in AU)]]^2+horizons_results_fin_use___Copy__2[[#This Row],[Z (Position in AU)]]^2)</f>
        <v>0.98525298446556886</v>
      </c>
    </row>
    <row r="1417" spans="1:5" x14ac:dyDescent="0.3">
      <c r="A1417" s="1">
        <f t="shared" si="22"/>
        <v>1416</v>
      </c>
      <c r="B1417" s="1">
        <v>0.24236417748773029</v>
      </c>
      <c r="C1417" s="1">
        <v>0.8760734577824979</v>
      </c>
      <c r="D1417" s="1">
        <v>0.37975099991604472</v>
      </c>
      <c r="E1417" s="2">
        <f>SQRT(horizons_results_fin_use___Copy__2[[#This Row],[X (Position in AU)]]^2+horizons_results_fin_use___Copy__2[[#This Row],[Y (Position in AU)]]^2+horizons_results_fin_use___Copy__2[[#This Row],[Z (Position in AU)]]^2)</f>
        <v>0.98511721124824625</v>
      </c>
    </row>
    <row r="1418" spans="1:5" x14ac:dyDescent="0.3">
      <c r="A1418" s="1">
        <f t="shared" si="22"/>
        <v>1417</v>
      </c>
      <c r="B1418" s="1">
        <v>0.22536515083730821</v>
      </c>
      <c r="C1418" s="1">
        <v>0.87976053160915613</v>
      </c>
      <c r="D1418" s="1">
        <v>0.38134867436611708</v>
      </c>
      <c r="E1418" s="2">
        <f>SQRT(horizons_results_fin_use___Copy__2[[#This Row],[X (Position in AU)]]^2+horizons_results_fin_use___Copy__2[[#This Row],[Y (Position in AU)]]^2+horizons_results_fin_use___Copy__2[[#This Row],[Z (Position in AU)]]^2)</f>
        <v>0.98498469817045509</v>
      </c>
    </row>
    <row r="1419" spans="1:5" x14ac:dyDescent="0.3">
      <c r="A1419" s="1">
        <f t="shared" si="22"/>
        <v>1418</v>
      </c>
      <c r="B1419" s="1">
        <v>0.20829725522374351</v>
      </c>
      <c r="C1419" s="1">
        <v>0.88317380892809993</v>
      </c>
      <c r="D1419" s="1">
        <v>0.38282777052074718</v>
      </c>
      <c r="E1419" s="2">
        <f>SQRT(horizons_results_fin_use___Copy__2[[#This Row],[X (Position in AU)]]^2+horizons_results_fin_use___Copy__2[[#This Row],[Y (Position in AU)]]^2+horizons_results_fin_use___Copy__2[[#This Row],[Z (Position in AU)]]^2)</f>
        <v>0.98485573826434047</v>
      </c>
    </row>
    <row r="1420" spans="1:5" x14ac:dyDescent="0.3">
      <c r="A1420" s="1">
        <f t="shared" si="22"/>
        <v>1419</v>
      </c>
      <c r="B1420" s="1">
        <v>0.19116602666670859</v>
      </c>
      <c r="C1420" s="1">
        <v>0.886312384485198</v>
      </c>
      <c r="D1420" s="1">
        <v>0.38418792139525959</v>
      </c>
      <c r="E1420" s="2">
        <f>SQRT(horizons_results_fin_use___Copy__2[[#This Row],[X (Position in AU)]]^2+horizons_results_fin_use___Copy__2[[#This Row],[Y (Position in AU)]]^2+horizons_results_fin_use___Copy__2[[#This Row],[Z (Position in AU)]]^2)</f>
        <v>0.98473064925866116</v>
      </c>
    </row>
    <row r="1421" spans="1:5" x14ac:dyDescent="0.3">
      <c r="A1421" s="1">
        <f t="shared" si="22"/>
        <v>1420</v>
      </c>
      <c r="B1421" s="1">
        <v>0.1739769385717404</v>
      </c>
      <c r="C1421" s="1">
        <v>0.88917547498654059</v>
      </c>
      <c r="D1421" s="1">
        <v>0.38542880379141048</v>
      </c>
      <c r="E1421" s="2">
        <f>SQRT(horizons_results_fin_use___Copy__2[[#This Row],[X (Position in AU)]]^2+horizons_results_fin_use___Copy__2[[#This Row],[Y (Position in AU)]]^2+horizons_results_fin_use___Copy__2[[#This Row],[Z (Position in AU)]]^2)</f>
        <v>0.98460975176178955</v>
      </c>
    </row>
    <row r="1422" spans="1:5" x14ac:dyDescent="0.3">
      <c r="A1422" s="1">
        <f t="shared" si="22"/>
        <v>1421</v>
      </c>
      <c r="B1422" s="1">
        <v>0.1567354064220598</v>
      </c>
      <c r="C1422" s="1">
        <v>0.89176239876785934</v>
      </c>
      <c r="D1422" s="1">
        <v>0.38655013032129809</v>
      </c>
      <c r="E1422" s="2">
        <f>SQRT(horizons_results_fin_use___Copy__2[[#This Row],[X (Position in AU)]]^2+horizons_results_fin_use___Copy__2[[#This Row],[Y (Position in AU)]]^2+horizons_results_fin_use___Copy__2[[#This Row],[Z (Position in AU)]]^2)</f>
        <v>0.9844933553528471</v>
      </c>
    </row>
    <row r="1423" spans="1:5" x14ac:dyDescent="0.3">
      <c r="A1423" s="1">
        <f t="shared" si="22"/>
        <v>1422</v>
      </c>
      <c r="B1423" s="1">
        <v>0.13944679530939169</v>
      </c>
      <c r="C1423" s="1">
        <v>0.89407256215735553</v>
      </c>
      <c r="D1423" s="1">
        <v>0.3875516445592293</v>
      </c>
      <c r="E1423" s="2">
        <f>SQRT(horizons_results_fin_use___Copy__2[[#This Row],[X (Position in AU)]]^2+horizons_results_fin_use___Copy__2[[#This Row],[Y (Position in AU)]]^2+horizons_results_fin_use___Copy__2[[#This Row],[Z (Position in AU)]]^2)</f>
        <v>0.98438175131665306</v>
      </c>
    </row>
    <row r="1424" spans="1:5" x14ac:dyDescent="0.3">
      <c r="A1424" s="1">
        <f t="shared" si="22"/>
        <v>1423</v>
      </c>
      <c r="B1424" s="1">
        <v>0.1221164270503813</v>
      </c>
      <c r="C1424" s="1">
        <v>0.89610545099395855</v>
      </c>
      <c r="D1424" s="1">
        <v>0.38843311834301653</v>
      </c>
      <c r="E1424" s="2">
        <f>SQRT(horizons_results_fin_use___Copy__2[[#This Row],[X (Position in AU)]]^2+horizons_results_fin_use___Copy__2[[#This Row],[Y (Position in AU)]]^2+horizons_results_fin_use___Copy__2[[#This Row],[Z (Position in AU)]]^2)</f>
        <v>0.984275209726587</v>
      </c>
    </row>
    <row r="1425" spans="1:5" x14ac:dyDescent="0.3">
      <c r="A1425" s="1">
        <f t="shared" si="22"/>
        <v>1424</v>
      </c>
      <c r="B1425" s="1">
        <v>0.1047495854008032</v>
      </c>
      <c r="C1425" s="1">
        <v>0.89786062522125332</v>
      </c>
      <c r="D1425" s="1">
        <v>0.38919435019305482</v>
      </c>
      <c r="E1425" s="2">
        <f>SQRT(horizons_results_fin_use___Copy__2[[#This Row],[X (Position in AU)]]^2+horizons_results_fin_use___Copy__2[[#This Row],[Y (Position in AU)]]^2+horizons_results_fin_use___Copy__2[[#This Row],[Z (Position in AU)]]^2)</f>
        <v>0.98417397861685729</v>
      </c>
    </row>
    <row r="1426" spans="1:5" x14ac:dyDescent="0.3">
      <c r="A1426" s="1">
        <f t="shared" si="22"/>
        <v>1425</v>
      </c>
      <c r="B1426" s="1">
        <v>8.7351519174360431E-2</v>
      </c>
      <c r="C1426" s="1">
        <v>0.89933771466106072</v>
      </c>
      <c r="D1426" s="1">
        <v>0.38983516402518342</v>
      </c>
      <c r="E1426" s="2">
        <f>SQRT(horizons_results_fin_use___Copy__2[[#This Row],[X (Position in AU)]]^2+horizons_results_fin_use___Copy__2[[#This Row],[Y (Position in AU)]]^2+horizons_results_fin_use___Copy__2[[#This Row],[Z (Position in AU)]]^2)</f>
        <v>0.98407828348378346</v>
      </c>
    </row>
    <row r="1427" spans="1:5" x14ac:dyDescent="0.3">
      <c r="A1427" s="1">
        <f t="shared" si="22"/>
        <v>1426</v>
      </c>
      <c r="B1427" s="1">
        <v>6.9927443874777465E-2</v>
      </c>
      <c r="C1427" s="1">
        <v>0.90053641455395805</v>
      </c>
      <c r="D1427" s="1">
        <v>0.39035540761873788</v>
      </c>
      <c r="E1427" s="2">
        <f>SQRT(horizons_results_fin_use___Copy__2[[#This Row],[X (Position in AU)]]^2+horizons_results_fin_use___Copy__2[[#This Row],[Y (Position in AU)]]^2+horizons_results_fin_use___Copy__2[[#This Row],[Z (Position in AU)]]^2)</f>
        <v>0.98398832594789931</v>
      </c>
    </row>
    <row r="1428" spans="1:5" x14ac:dyDescent="0.3">
      <c r="A1428" s="1">
        <f t="shared" si="22"/>
        <v>1427</v>
      </c>
      <c r="B1428" s="1">
        <v>5.2482542881597892E-2</v>
      </c>
      <c r="C1428" s="1">
        <v>0.90145648002317147</v>
      </c>
      <c r="D1428" s="1">
        <v>0.39075495058591719</v>
      </c>
      <c r="E1428" s="2">
        <f>SQRT(horizons_results_fin_use___Copy__2[[#This Row],[X (Position in AU)]]^2+horizons_results_fin_use___Copy__2[[#This Row],[Y (Position in AU)]]^2+horizons_results_fin_use___Copy__2[[#This Row],[Z (Position in AU)]]^2)</f>
        <v>0.98390428095952909</v>
      </c>
    </row>
    <row r="1429" spans="1:5" x14ac:dyDescent="0.3">
      <c r="A1429" s="1">
        <f t="shared" si="22"/>
        <v>1428</v>
      </c>
      <c r="B1429" s="1">
        <v>3.5021969390657569E-2</v>
      </c>
      <c r="C1429" s="1">
        <v>0.90209771919766635</v>
      </c>
      <c r="D1429" s="1">
        <v>0.39103368185041393</v>
      </c>
      <c r="E1429" s="2">
        <f>SQRT(horizons_results_fin_use___Copy__2[[#This Row],[X (Position in AU)]]^2+horizons_results_fin_use___Copy__2[[#This Row],[Y (Position in AU)]]^2+horizons_results_fin_use___Copy__2[[#This Row],[Z (Position in AU)]]^2)</f>
        <v>0.98382629242317099</v>
      </c>
    </row>
    <row r="1430" spans="1:5" x14ac:dyDescent="0.3">
      <c r="A1430" s="1">
        <f t="shared" si="22"/>
        <v>1429</v>
      </c>
      <c r="B1430" s="1">
        <v>1.7550850237184959E-2</v>
      </c>
      <c r="C1430" s="1">
        <v>0.90245998528551674</v>
      </c>
      <c r="D1430" s="1">
        <v>0.39119150687135029</v>
      </c>
      <c r="E1430" s="2">
        <f>SQRT(horizons_results_fin_use___Copy__2[[#This Row],[X (Position in AU)]]^2+horizons_results_fin_use___Copy__2[[#This Row],[Y (Position in AU)]]^2+horizons_results_fin_use___Copy__2[[#This Row],[Z (Position in AU)]]^2)</f>
        <v>0.98375446755471507</v>
      </c>
    </row>
    <row r="1431" spans="1:5" x14ac:dyDescent="0.3">
      <c r="A1431" s="1">
        <f t="shared" si="22"/>
        <v>1430</v>
      </c>
      <c r="B1431" s="1">
        <v>7.4292432697203913E-5</v>
      </c>
      <c r="C1431" s="1">
        <v>0.90254316836445037</v>
      </c>
      <c r="D1431" s="1">
        <v>0.39122834502047021</v>
      </c>
      <c r="E1431" s="2">
        <f>SQRT(horizons_results_fin_use___Copy__2[[#This Row],[X (Position in AU)]]^2+horizons_results_fin_use___Copy__2[[#This Row],[Y (Position in AU)]]^2+horizons_results_fin_use___Copy__2[[#This Row],[Z (Position in AU)]]^2)</f>
        <v>0.98368887064364119</v>
      </c>
    </row>
    <row r="1432" spans="1:5" x14ac:dyDescent="0.3">
      <c r="A1432" s="1">
        <f t="shared" si="22"/>
        <v>1431</v>
      </c>
      <c r="B1432" s="1">
        <v>-1.7402607233906939E-2</v>
      </c>
      <c r="C1432" s="1">
        <v>0.90234718796633751</v>
      </c>
      <c r="D1432" s="1">
        <v>0.39114412760358458</v>
      </c>
      <c r="E1432" s="2">
        <f>SQRT(horizons_results_fin_use___Copy__2[[#This Row],[X (Position in AU)]]^2+horizons_results_fin_use___Copy__2[[#This Row],[Y (Position in AU)]]^2+horizons_results_fin_use___Copy__2[[#This Row],[Z (Position in AU)]]^2)</f>
        <v>0.98362951710898938</v>
      </c>
    </row>
    <row r="1433" spans="1:5" x14ac:dyDescent="0.3">
      <c r="A1433" s="1">
        <f t="shared" si="22"/>
        <v>1432</v>
      </c>
      <c r="B1433" s="1">
        <v>-3.4874749736272213E-2</v>
      </c>
      <c r="C1433" s="1">
        <v>0.90187198759806841</v>
      </c>
      <c r="D1433" s="1">
        <v>0.39093879698926898</v>
      </c>
      <c r="E1433" s="2">
        <f>SQRT(horizons_results_fin_use___Copy__2[[#This Row],[X (Position in AU)]]^2+horizons_results_fin_use___Copy__2[[#This Row],[Y (Position in AU)]]^2+horizons_results_fin_use___Copy__2[[#This Row],[Z (Position in AU)]]^2)</f>
        <v>0.9835763687557133</v>
      </c>
    </row>
    <row r="1434" spans="1:5" x14ac:dyDescent="0.3">
      <c r="A1434" s="1">
        <f t="shared" si="22"/>
        <v>1433</v>
      </c>
      <c r="B1434" s="1">
        <v>-5.2337019163642792E-2</v>
      </c>
      <c r="C1434" s="1">
        <v>0.90111753215693946</v>
      </c>
      <c r="D1434" s="1">
        <v>0.39061230718272061</v>
      </c>
      <c r="E1434" s="2">
        <f>SQRT(horizons_results_fin_use___Copy__2[[#This Row],[X (Position in AU)]]^2+horizons_results_fin_use___Copy__2[[#This Row],[Y (Position in AU)]]^2+horizons_results_fin_use___Copy__2[[#This Row],[Z (Position in AU)]]^2)</f>
        <v>0.98352933095976169</v>
      </c>
    </row>
    <row r="1435" spans="1:5" x14ac:dyDescent="0.3">
      <c r="A1435" s="1">
        <f t="shared" si="22"/>
        <v>1434</v>
      </c>
      <c r="B1435" s="1">
        <v>-6.9784266795816868E-2</v>
      </c>
      <c r="C1435" s="1">
        <v>0.90008380887084338</v>
      </c>
      <c r="D1435" s="1">
        <v>0.39016462601990859</v>
      </c>
      <c r="E1435" s="2">
        <f>SQRT(horizons_results_fin_use___Copy__2[[#This Row],[X (Position in AU)]]^2+horizons_results_fin_use___Copy__2[[#This Row],[Y (Position in AU)]]^2+horizons_results_fin_use___Copy__2[[#This Row],[Z (Position in AU)]]^2)</f>
        <v>0.98348825223330949</v>
      </c>
    </row>
    <row r="1436" spans="1:5" x14ac:dyDescent="0.3">
      <c r="A1436" s="1">
        <f t="shared" si="22"/>
        <v>1435</v>
      </c>
      <c r="B1436" s="1">
        <v>-8.7211294793977115E-2</v>
      </c>
      <c r="C1436" s="1">
        <v>0.89877083211214304</v>
      </c>
      <c r="D1436" s="1">
        <v>0.38959573903932132</v>
      </c>
      <c r="E1436" s="2">
        <f>SQRT(horizons_results_fin_use___Copy__2[[#This Row],[X (Position in AU)]]^2+horizons_results_fin_use___Copy__2[[#This Row],[Y (Position in AU)]]^2+horizons_results_fin_use___Copy__2[[#This Row],[Z (Position in AU)]]^2)</f>
        <v>0.98345292641426973</v>
      </c>
    </row>
    <row r="1437" spans="1:5" x14ac:dyDescent="0.3">
      <c r="A1437" s="1">
        <f t="shared" si="22"/>
        <v>1436</v>
      </c>
      <c r="B1437" s="1">
        <v>-0.1046128402862983</v>
      </c>
      <c r="C1437" s="1">
        <v>0.89717865237107242</v>
      </c>
      <c r="D1437" s="1">
        <v>0.38890565507353703</v>
      </c>
      <c r="E1437" s="2">
        <f>SQRT(horizons_results_fin_use___Copy__2[[#This Row],[X (Position in AU)]]^2+horizons_results_fin_use___Copy__2[[#This Row],[Y (Position in AU)]]^2+horizons_results_fin_use___Copy__2[[#This Row],[Z (Position in AU)]]^2)</f>
        <v>0.98342309774141323</v>
      </c>
    </row>
    <row r="1438" spans="1:5" x14ac:dyDescent="0.3">
      <c r="A1438" s="1">
        <f t="shared" si="22"/>
        <v>1437</v>
      </c>
      <c r="B1438" s="1">
        <v>-0.1219835606919881</v>
      </c>
      <c r="C1438" s="1">
        <v>0.89530736985631332</v>
      </c>
      <c r="D1438" s="1">
        <v>0.38809441367368641</v>
      </c>
      <c r="E1438" s="2">
        <f>SQRT(horizons_results_fin_use___Copy__2[[#This Row],[X (Position in AU)]]^2+horizons_results_fin_use___Copy__2[[#This Row],[Y (Position in AU)]]^2+horizons_results_fin_use___Copy__2[[#This Row],[Z (Position in AU)]]^2)</f>
        <v>0.98339846935148711</v>
      </c>
    </row>
    <row r="1439" spans="1:5" x14ac:dyDescent="0.3">
      <c r="A1439" s="1">
        <f t="shared" si="22"/>
        <v>1438</v>
      </c>
      <c r="B1439" s="1">
        <v>-0.13931802163900131</v>
      </c>
      <c r="C1439" s="1">
        <v>0.89315715340708079</v>
      </c>
      <c r="D1439" s="1">
        <v>0.38716209452087791</v>
      </c>
      <c r="E1439" s="2">
        <f>SQRT(horizons_results_fin_use___Copy__2[[#This Row],[X (Position in AU)]]^2+horizons_results_fin_use___Copy__2[[#This Row],[Y (Position in AU)]]^2+horizons_results_fin_use___Copy__2[[#This Row],[Z (Position in AU)]]^2)</f>
        <v>0.9833787160954004</v>
      </c>
    </row>
    <row r="1440" spans="1:5" x14ac:dyDescent="0.3">
      <c r="A1440" s="1">
        <f t="shared" si="22"/>
        <v>1439</v>
      </c>
      <c r="B1440" s="1">
        <v>-0.15661068982983309</v>
      </c>
      <c r="C1440" s="1">
        <v>0.89072826521233839</v>
      </c>
      <c r="D1440" s="1">
        <v>0.38610882879925928</v>
      </c>
      <c r="E1440" s="2">
        <f>SQRT(horizons_results_fin_use___Copy__2[[#This Row],[X (Position in AU)]]^2+horizons_results_fin_use___Copy__2[[#This Row],[Y (Position in AU)]]^2+horizons_results_fin_use___Copy__2[[#This Row],[Z (Position in AU)]]^2)</f>
        <v>0.98336350262448413</v>
      </c>
    </row>
    <row r="1441" spans="1:5" x14ac:dyDescent="0.3">
      <c r="A1441" s="1">
        <f t="shared" si="22"/>
        <v>1440</v>
      </c>
      <c r="B1441" s="1">
        <v>-0.17385593428840801</v>
      </c>
      <c r="C1441" s="1">
        <v>0.88802109073489843</v>
      </c>
      <c r="D1441" s="1">
        <v>0.38493481193277151</v>
      </c>
      <c r="E1441" s="2">
        <f>SQRT(horizons_results_fin_use___Copy__2[[#This Row],[X (Position in AU)]]^2+horizons_results_fin_use___Copy__2[[#This Row],[Y (Position in AU)]]^2+horizons_results_fin_use___Copy__2[[#This Row],[Z (Position in AU)]]^2)</f>
        <v>0.98335250694499798</v>
      </c>
    </row>
    <row r="1442" spans="1:5" x14ac:dyDescent="0.3">
      <c r="A1442" s="1">
        <f t="shared" si="22"/>
        <v>1441</v>
      </c>
      <c r="B1442" s="1">
        <v>-0.1910480396517994</v>
      </c>
      <c r="C1442" s="1">
        <v>0.88503617105885157</v>
      </c>
      <c r="D1442" s="1">
        <v>0.38364031614159377</v>
      </c>
      <c r="E1442" s="2">
        <f>SQRT(horizons_results_fin_use___Copy__2[[#This Row],[X (Position in AU)]]^2+horizons_results_fin_use___Copy__2[[#This Row],[Y (Position in AU)]]^2+horizons_results_fin_use___Copy__2[[#This Row],[Z (Position in AU)]]^2)</f>
        <v>0.9833454477987531</v>
      </c>
    </row>
    <row r="1443" spans="1:5" x14ac:dyDescent="0.3">
      <c r="A1443" s="1">
        <f t="shared" si="22"/>
        <v>1442</v>
      </c>
      <c r="B1443" s="1">
        <v>-0.20818123348721909</v>
      </c>
      <c r="C1443" s="1">
        <v>0.88177423227663332</v>
      </c>
      <c r="D1443" s="1">
        <v>0.38222570034032199</v>
      </c>
      <c r="E1443" s="2">
        <f>SQRT(horizons_results_fin_use___Copy__2[[#This Row],[X (Position in AU)]]^2+horizons_results_fin_use___Copy__2[[#This Row],[Y (Position in AU)]]^2+horizons_results_fin_use___Copy__2[[#This Row],[Z (Position in AU)]]^2)</f>
        <v>0.98334211172102037</v>
      </c>
    </row>
    <row r="1444" spans="1:5" x14ac:dyDescent="0.3">
      <c r="A1444" s="1">
        <f t="shared" si="22"/>
        <v>1443</v>
      </c>
      <c r="B1444" s="1">
        <v>-0.22524972576363941</v>
      </c>
      <c r="C1444" s="1">
        <v>0.87823620510577527</v>
      </c>
      <c r="D1444" s="1">
        <v>0.38069141468070378</v>
      </c>
      <c r="E1444" s="2">
        <f>SQRT(horizons_results_fin_use___Copy__2[[#This Row],[X (Position in AU)]]^2+horizons_results_fin_use___Copy__2[[#This Row],[Y (Position in AU)]]^2+horizons_results_fin_use___Copy__2[[#This Row],[Z (Position in AU)]]^2)</f>
        <v>0.98334237380821932</v>
      </c>
    </row>
    <row r="1445" spans="1:5" x14ac:dyDescent="0.3">
      <c r="A1445" s="1">
        <f t="shared" si="22"/>
        <v>1444</v>
      </c>
      <c r="B1445" s="1">
        <v>-0.2422477540351233</v>
      </c>
      <c r="C1445" s="1">
        <v>0.87442322931635619</v>
      </c>
      <c r="D1445" s="1">
        <v>0.37903799808808991</v>
      </c>
      <c r="E1445" s="2">
        <f>SQRT(horizons_results_fin_use___Copy__2[[#This Row],[X (Position in AU)]]^2+horizons_results_fin_use___Copy__2[[#This Row],[Y (Position in AU)]]^2+horizons_results_fin_use___Copy__2[[#This Row],[Z (Position in AU)]]^2)</f>
        <v>0.98334620673378981</v>
      </c>
    </row>
    <row r="1446" spans="1:5" x14ac:dyDescent="0.3">
      <c r="A1446" s="1">
        <f t="shared" si="22"/>
        <v>1445</v>
      </c>
      <c r="B1446" s="1">
        <v>-0.25916962529547072</v>
      </c>
      <c r="C1446" s="1">
        <v>0.87033664184733861</v>
      </c>
      <c r="D1446" s="1">
        <v>0.37726606922084749</v>
      </c>
      <c r="E1446" s="2">
        <f>SQRT(horizons_results_fin_use___Copy__2[[#This Row],[X (Position in AU)]]^2+horizons_results_fin_use___Copy__2[[#This Row],[Y (Position in AU)]]^2+horizons_results_fin_use___Copy__2[[#This Row],[Z (Position in AU)]]^2)</f>
        <v>0.98335367584773203</v>
      </c>
    </row>
    <row r="1447" spans="1:5" x14ac:dyDescent="0.3">
      <c r="A1447" s="1">
        <f t="shared" si="22"/>
        <v>1446</v>
      </c>
      <c r="B1447" s="1">
        <v>-0.27600974671914608</v>
      </c>
      <c r="C1447" s="1">
        <v>0.86597795258278287</v>
      </c>
      <c r="D1447" s="1">
        <v>0.37537631331394578</v>
      </c>
      <c r="E1447" s="2">
        <f>SQRT(horizons_results_fin_use___Copy__2[[#This Row],[X (Position in AU)]]^2+horizons_results_fin_use___Copy__2[[#This Row],[Y (Position in AU)]]^2+horizons_results_fin_use___Copy__2[[#This Row],[Z (Position in AU)]]^2)</f>
        <v>0.98336492272228482</v>
      </c>
    </row>
    <row r="1448" spans="1:5" x14ac:dyDescent="0.3">
      <c r="A1448" s="1">
        <f t="shared" si="22"/>
        <v>1447</v>
      </c>
      <c r="B1448" s="1">
        <v>-0.292762641902022</v>
      </c>
      <c r="C1448" s="1">
        <v>0.86134881481809544</v>
      </c>
      <c r="D1448" s="1">
        <v>0.37336946822405609</v>
      </c>
      <c r="E1448" s="2">
        <f>SQRT(horizons_results_fin_use___Copy__2[[#This Row],[X (Position in AU)]]^2+horizons_results_fin_use___Copy__2[[#This Row],[Y (Position in AU)]]^2+horizons_results_fin_use___Copy__2[[#This Row],[Z (Position in AU)]]^2)</f>
        <v>0.98338014271384577</v>
      </c>
    </row>
    <row r="1449" spans="1:5" x14ac:dyDescent="0.3">
      <c r="A1449" s="1">
        <f t="shared" si="22"/>
        <v>1448</v>
      </c>
      <c r="B1449" s="1">
        <v>-0.3094229540698879</v>
      </c>
      <c r="C1449" s="1">
        <v>0.85645099720374351</v>
      </c>
      <c r="D1449" s="1">
        <v>0.37124631240519268</v>
      </c>
      <c r="E1449" s="2">
        <f>SQRT(horizons_results_fin_use___Copy__2[[#This Row],[X (Position in AU)]]^2+horizons_results_fin_use___Copy__2[[#This Row],[Y (Position in AU)]]^2+horizons_results_fin_use___Copy__2[[#This Row],[Z (Position in AU)]]^2)</f>
        <v>0.98339956253349869</v>
      </c>
    </row>
    <row r="1450" spans="1:5" x14ac:dyDescent="0.3">
      <c r="A1450" s="1">
        <f t="shared" si="22"/>
        <v>1449</v>
      </c>
      <c r="B1450" s="1">
        <v>-0.32598544066553581</v>
      </c>
      <c r="C1450" s="1">
        <v>0.85128636136695612</v>
      </c>
      <c r="D1450" s="1">
        <v>0.36900765615356429</v>
      </c>
      <c r="E1450" s="2">
        <f>SQRT(horizons_results_fin_use___Copy__2[[#This Row],[X (Position in AU)]]^2+horizons_results_fin_use___Copy__2[[#This Row],[Y (Position in AU)]]^2+horizons_results_fin_use___Copy__2[[#This Row],[Z (Position in AU)]]^2)</f>
        <v>0.9834234219679957</v>
      </c>
    </row>
    <row r="1451" spans="1:5" x14ac:dyDescent="0.3">
      <c r="A1451" s="1">
        <f t="shared" si="22"/>
        <v>1450</v>
      </c>
      <c r="B1451" s="1">
        <v>-0.34244496418475617</v>
      </c>
      <c r="C1451" s="1">
        <v>0.84585684637479108</v>
      </c>
      <c r="D1451" s="1">
        <v>0.36665433612752391</v>
      </c>
      <c r="E1451" s="2">
        <f>SQRT(horizons_results_fin_use___Copy__2[[#This Row],[X (Position in AU)]]^2+horizons_results_fin_use___Copy__2[[#This Row],[Y (Position in AU)]]^2+horizons_results_fin_use___Copy__2[[#This Row],[Z (Position in AU)]]^2)</f>
        <v>0.98345196133604873</v>
      </c>
    </row>
    <row r="1452" spans="1:5" x14ac:dyDescent="0.3">
      <c r="A1452" s="1">
        <f t="shared" si="22"/>
        <v>1451</v>
      </c>
      <c r="B1452" s="1">
        <v>-0.35879648296405853</v>
      </c>
      <c r="C1452" s="1">
        <v>0.84016445903884873</v>
      </c>
      <c r="D1452" s="1">
        <v>0.36418721234874302</v>
      </c>
      <c r="E1452" s="2">
        <f>SQRT(horizons_results_fin_use___Copy__2[[#This Row],[X (Position in AU)]]^2+horizons_results_fin_use___Copy__2[[#This Row],[Y (Position in AU)]]^2+horizons_results_fin_use___Copy__2[[#This Row],[Z (Position in AU)]]^2)</f>
        <v>0.98348541425776503</v>
      </c>
    </row>
    <row r="1453" spans="1:5" x14ac:dyDescent="0.3">
      <c r="A1453" s="1">
        <f t="shared" si="22"/>
        <v>1452</v>
      </c>
      <c r="B1453" s="1">
        <v>-0.37503504396764331</v>
      </c>
      <c r="C1453" s="1">
        <v>0.83421126807991841</v>
      </c>
      <c r="D1453" s="1">
        <v>0.36160716664014902</v>
      </c>
      <c r="E1453" s="2">
        <f>SQRT(horizons_results_fin_use___Copy__2[[#This Row],[X (Position in AU)]]^2+horizons_results_fin_use___Copy__2[[#This Row],[Y (Position in AU)]]^2+horizons_results_fin_use___Copy__2[[#This Row],[Z (Position in AU)]]^2)</f>
        <v>0.98352400426264841</v>
      </c>
    </row>
    <row r="1454" spans="1:5" x14ac:dyDescent="0.3">
      <c r="A1454" s="1">
        <f t="shared" si="22"/>
        <v>1453</v>
      </c>
      <c r="B1454" s="1">
        <v>-0.39115577818547692</v>
      </c>
      <c r="C1454" s="1">
        <v>0.82799940005756445</v>
      </c>
      <c r="D1454" s="1">
        <v>0.35891510155160022</v>
      </c>
      <c r="E1454" s="2">
        <f>SQRT(horizons_results_fin_use___Copy__2[[#This Row],[X (Position in AU)]]^2+horizons_results_fin_use___Copy__2[[#This Row],[Y (Position in AU)]]^2+horizons_results_fin_use___Copy__2[[#This Row],[Z (Position in AU)]]^2)</f>
        <v>0.98356794347181131</v>
      </c>
    </row>
    <row r="1455" spans="1:5" x14ac:dyDescent="0.3">
      <c r="A1455" s="1">
        <f t="shared" si="22"/>
        <v>1454</v>
      </c>
      <c r="B1455" s="1">
        <v>-0.40715389824466952</v>
      </c>
      <c r="C1455" s="1">
        <v>0.82153103530352534</v>
      </c>
      <c r="D1455" s="1">
        <v>0.35611193906645011</v>
      </c>
      <c r="E1455" s="2">
        <f>SQRT(horizons_results_fin_use___Copy__2[[#This Row],[X (Position in AU)]]^2+horizons_results_fin_use___Copy__2[[#This Row],[Y (Position in AU)]]^2+horizons_results_fin_use___Copy__2[[#This Row],[Z (Position in AU)]]^2)</f>
        <v>0.98361743171234006</v>
      </c>
    </row>
    <row r="1456" spans="1:5" x14ac:dyDescent="0.3">
      <c r="A1456" s="1">
        <f t="shared" si="22"/>
        <v>1455</v>
      </c>
      <c r="B1456" s="1">
        <v>-0.42302469718917501</v>
      </c>
      <c r="C1456" s="1">
        <v>0.81480840260597176</v>
      </c>
      <c r="D1456" s="1">
        <v>0.35319861866172891</v>
      </c>
      <c r="E1456" s="2">
        <f>SQRT(horizons_results_fin_use___Copy__2[[#This Row],[X (Position in AU)]]^2+horizons_results_fin_use___Copy__2[[#This Row],[Y (Position in AU)]]^2+horizons_results_fin_use___Copy__2[[#This Row],[Z (Position in AU)]]^2)</f>
        <v>0.98367265470472542</v>
      </c>
    </row>
    <row r="1457" spans="1:5" x14ac:dyDescent="0.3">
      <c r="A1457" s="1">
        <f t="shared" si="22"/>
        <v>1456</v>
      </c>
      <c r="B1457" s="1">
        <v>-0.4387635469853029</v>
      </c>
      <c r="C1457" s="1">
        <v>0.80783377197789907</v>
      </c>
      <c r="D1457" s="1">
        <v>0.35017609458212751</v>
      </c>
      <c r="E1457" s="2">
        <f>SQRT(horizons_results_fin_use___Copy__2[[#This Row],[X (Position in AU)]]^2+horizons_results_fin_use___Copy__2[[#This Row],[Y (Position in AU)]]^2+horizons_results_fin_use___Copy__2[[#This Row],[Z (Position in AU)]]^2)</f>
        <v>0.98373378031251701</v>
      </c>
    </row>
    <row r="1458" spans="1:5" x14ac:dyDescent="0.3">
      <c r="A1458" s="1">
        <f t="shared" si="22"/>
        <v>1457</v>
      </c>
      <c r="B1458" s="1">
        <v>-0.45436589512228159</v>
      </c>
      <c r="C1458" s="1">
        <v>0.80060944551252755</v>
      </c>
      <c r="D1458" s="1">
        <v>0.34704533248964581</v>
      </c>
      <c r="E1458" s="2">
        <f>SQRT(horizons_results_fin_use___Copy__2[[#This Row],[X (Position in AU)]]^2+horizons_results_fin_use___Copy__2[[#This Row],[Y (Position in AU)]]^2+horizons_results_fin_use___Copy__2[[#This Row],[Z (Position in AU)]]^2)</f>
        <v>0.98380095227489894</v>
      </c>
    </row>
    <row r="1459" spans="1:5" x14ac:dyDescent="0.3">
      <c r="A1459" s="1">
        <f t="shared" si="22"/>
        <v>1458</v>
      </c>
      <c r="B1459" s="1">
        <v>-0.46982725775745371</v>
      </c>
      <c r="C1459" s="1">
        <v>0.79313774708835239</v>
      </c>
      <c r="D1459" s="1">
        <v>0.34380730596381581</v>
      </c>
      <c r="E1459" s="2">
        <f>SQRT(horizons_results_fin_use___Copy__2[[#This Row],[X (Position in AU)]]^2+horizons_results_fin_use___Copy__2[[#This Row],[Y (Position in AU)]]^2+horizons_results_fin_use___Copy__2[[#This Row],[Z (Position in AU)]]^2)</f>
        <v>0.9838742814111836</v>
      </c>
    </row>
    <row r="1460" spans="1:5" x14ac:dyDescent="0.3">
      <c r="A1460" s="1">
        <f t="shared" si="22"/>
        <v>1459</v>
      </c>
      <c r="B1460" s="1">
        <v>-0.48514320831765562</v>
      </c>
      <c r="C1460" s="1">
        <v>0.78542101245778395</v>
      </c>
      <c r="D1460" s="1">
        <v>0.3404629936075162</v>
      </c>
      <c r="E1460" s="2">
        <f>SQRT(horizons_results_fin_use___Copy__2[[#This Row],[X (Position in AU)]]^2+horizons_results_fin_use___Copy__2[[#This Row],[Y (Position in AU)]]^2+horizons_results_fin_use___Copy__2[[#This Row],[Z (Position in AU)]]^2)</f>
        <v>0.98395383499590583</v>
      </c>
    </row>
    <row r="1461" spans="1:5" x14ac:dyDescent="0.3">
      <c r="A1461" s="1">
        <f t="shared" si="22"/>
        <v>1460</v>
      </c>
      <c r="B1461" s="1">
        <v>-0.50030936137004856</v>
      </c>
      <c r="C1461" s="1">
        <v>0.77746158183252201</v>
      </c>
      <c r="D1461" s="1">
        <v>0.33701337766890999</v>
      </c>
      <c r="E1461" s="2">
        <f>SQRT(horizons_results_fin_use___Copy__2[[#This Row],[X (Position in AU)]]^2+horizons_results_fin_use___Copy__2[[#This Row],[Y (Position in AU)]]^2+horizons_results_fin_use___Copy__2[[#This Row],[Z (Position in AU)]]^2)</f>
        <v>0.98403962574067139</v>
      </c>
    </row>
    <row r="1462" spans="1:5" x14ac:dyDescent="0.3">
      <c r="A1462" s="1">
        <f t="shared" si="22"/>
        <v>1461</v>
      </c>
      <c r="B1462" s="1">
        <v>-0.51532135279308755</v>
      </c>
      <c r="C1462" s="1">
        <v>0.76926179719230803</v>
      </c>
      <c r="D1462" s="1">
        <v>0.33345944501764269</v>
      </c>
      <c r="E1462" s="2">
        <f>SQRT(horizons_results_fin_use___Copy__2[[#This Row],[X (Position in AU)]]^2+horizons_results_fin_use___Copy__2[[#This Row],[Y (Position in AU)]]^2+horizons_results_fin_use___Copy__2[[#This Row],[Z (Position in AU)]]^2)</f>
        <v>0.98413160234569841</v>
      </c>
    </row>
    <row r="1463" spans="1:5" x14ac:dyDescent="0.3">
      <c r="A1463" s="1">
        <f t="shared" si="22"/>
        <v>1462</v>
      </c>
      <c r="B1463" s="1">
        <v>-0.53017481845791747</v>
      </c>
      <c r="C1463" s="1">
        <v>0.76082400600873967</v>
      </c>
      <c r="D1463" s="1">
        <v>0.32980219097090602</v>
      </c>
      <c r="E1463" s="2">
        <f>SQRT(horizons_results_fin_use___Copy__2[[#This Row],[X (Position in AU)]]^2+horizons_results_fin_use___Copy__2[[#This Row],[Y (Position in AU)]]^2+horizons_results_fin_use___Copy__2[[#This Row],[Z (Position in AU)]]^2)</f>
        <v>0.9842296436377449</v>
      </c>
    </row>
    <row r="1464" spans="1:5" x14ac:dyDescent="0.3">
      <c r="A1464" s="3"/>
      <c r="B1464" s="3"/>
      <c r="C1464" s="3"/>
      <c r="D1464" s="4" t="s">
        <v>1</v>
      </c>
      <c r="E1464" s="3">
        <f>AVERAGE(horizons_results_fin_use___Copy__2[r (Distance in AU)])</f>
        <v>1.0001276008542288</v>
      </c>
    </row>
    <row r="1465" spans="1:5" x14ac:dyDescent="0.3">
      <c r="A1465" s="28" t="s">
        <v>0</v>
      </c>
      <c r="B1465" s="28"/>
      <c r="C1465" s="28"/>
      <c r="D1465" s="28"/>
      <c r="E1465" s="28"/>
    </row>
  </sheetData>
  <mergeCells count="1">
    <mergeCell ref="A1465:E146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087B-5CBA-40EC-B11C-FCCD3F4D705A}">
  <dimension ref="A1:H1465"/>
  <sheetViews>
    <sheetView workbookViewId="0">
      <selection activeCell="G74" sqref="G74"/>
    </sheetView>
  </sheetViews>
  <sheetFormatPr defaultRowHeight="14.4" x14ac:dyDescent="0.3"/>
  <cols>
    <col min="1" max="1" width="11.44140625" bestFit="1" customWidth="1"/>
    <col min="2" max="3" width="19" bestFit="1" customWidth="1"/>
    <col min="4" max="4" width="18.88671875" bestFit="1" customWidth="1"/>
    <col min="5" max="5" width="21.109375" bestFit="1" customWidth="1"/>
    <col min="7" max="7" width="14.44140625" bestFit="1" customWidth="1"/>
    <col min="8" max="8" width="43" bestFit="1" customWidth="1"/>
  </cols>
  <sheetData>
    <row r="1" spans="1:8" x14ac:dyDescent="0.3">
      <c r="A1" s="3" t="s">
        <v>6</v>
      </c>
      <c r="B1" t="s">
        <v>5</v>
      </c>
      <c r="C1" t="s">
        <v>4</v>
      </c>
      <c r="D1" t="s">
        <v>3</v>
      </c>
      <c r="E1" s="3" t="s">
        <v>2</v>
      </c>
    </row>
    <row r="2" spans="1:8" x14ac:dyDescent="0.3">
      <c r="A2" s="1">
        <v>1</v>
      </c>
      <c r="B2" s="1">
        <v>-0.53057153609999996</v>
      </c>
      <c r="C2" s="1">
        <v>0.76065220509999998</v>
      </c>
      <c r="D2" s="1">
        <v>0.3297315066</v>
      </c>
      <c r="E2" s="1">
        <v>0.98428694920000004</v>
      </c>
    </row>
    <row r="3" spans="1:8" x14ac:dyDescent="0.3">
      <c r="A3" s="1">
        <v>2</v>
      </c>
      <c r="B3" s="1">
        <v>-0.5452605868</v>
      </c>
      <c r="C3" s="1">
        <v>0.7519600139</v>
      </c>
      <c r="D3" s="1">
        <v>0.3259629959</v>
      </c>
      <c r="E3" s="1">
        <v>0.98438043689999999</v>
      </c>
      <c r="G3" s="29" t="s">
        <v>11</v>
      </c>
      <c r="H3" s="29"/>
    </row>
    <row r="4" spans="1:8" x14ac:dyDescent="0.3">
      <c r="A4" s="1">
        <v>3</v>
      </c>
      <c r="B4" s="1">
        <v>-0.55978043489999996</v>
      </c>
      <c r="C4" s="1">
        <v>0.74303447810000001</v>
      </c>
      <c r="D4" s="1">
        <v>0.3220933339</v>
      </c>
      <c r="E4" s="1">
        <v>0.9844787894</v>
      </c>
      <c r="G4" s="29"/>
      <c r="H4" s="29"/>
    </row>
    <row r="5" spans="1:8" x14ac:dyDescent="0.3">
      <c r="A5" s="1">
        <v>4</v>
      </c>
      <c r="B5" s="1">
        <v>-0.57412662670000003</v>
      </c>
      <c r="C5" s="1">
        <v>0.73387843679999998</v>
      </c>
      <c r="D5" s="1">
        <v>0.3181237515</v>
      </c>
      <c r="E5" s="1">
        <v>0.98458197459999997</v>
      </c>
      <c r="G5" s="29"/>
      <c r="H5" s="29"/>
    </row>
    <row r="6" spans="1:8" x14ac:dyDescent="0.3">
      <c r="A6" s="1">
        <v>5</v>
      </c>
      <c r="B6" s="1">
        <v>-0.58829476780000001</v>
      </c>
      <c r="C6" s="1">
        <v>0.72449480170000002</v>
      </c>
      <c r="D6" s="1">
        <v>0.31405551110000002</v>
      </c>
      <c r="E6" s="1">
        <v>0.98468995910000001</v>
      </c>
      <c r="G6" s="5" t="s">
        <v>9</v>
      </c>
      <c r="H6" s="5" t="s">
        <v>12</v>
      </c>
    </row>
    <row r="7" spans="1:8" x14ac:dyDescent="0.3">
      <c r="A7" s="1">
        <v>6</v>
      </c>
      <c r="B7" s="1">
        <v>-0.60228052430000001</v>
      </c>
      <c r="C7" s="1">
        <v>0.71488655690000003</v>
      </c>
      <c r="D7" s="1">
        <v>0.30988990649999998</v>
      </c>
      <c r="E7" s="1">
        <v>0.98480270780000001</v>
      </c>
      <c r="G7" s="5" t="s">
        <v>10</v>
      </c>
      <c r="H7" s="5" t="s">
        <v>13</v>
      </c>
    </row>
    <row r="8" spans="1:8" x14ac:dyDescent="0.3">
      <c r="A8" s="1">
        <v>7</v>
      </c>
      <c r="B8" s="1">
        <v>-0.61607962439999997</v>
      </c>
      <c r="C8" s="1">
        <v>0.70505675720000005</v>
      </c>
      <c r="D8" s="1">
        <v>0.30562826199999998</v>
      </c>
      <c r="E8" s="1">
        <v>0.98492018410000004</v>
      </c>
      <c r="G8" s="5" t="s">
        <v>7</v>
      </c>
      <c r="H8" s="8">
        <f>ABS((dt_1[[#Totals],[r (Distance in AU)]]-horizons_results_fin_use___Copy__2[[#Totals],[r (Distance in AU)]])/horizons_results_fin_use___Copy__2[[#Totals],[r (Distance in AU)]])</f>
        <v>3.3892745196397595E-4</v>
      </c>
    </row>
    <row r="9" spans="1:8" x14ac:dyDescent="0.3">
      <c r="A9" s="1">
        <v>8</v>
      </c>
      <c r="B9" s="1">
        <v>-0.62968785979999997</v>
      </c>
      <c r="C9" s="1">
        <v>0.69500852739999996</v>
      </c>
      <c r="D9" s="1">
        <v>0.30127193219999998</v>
      </c>
      <c r="E9" s="1">
        <v>0.98504234989999995</v>
      </c>
    </row>
    <row r="10" spans="1:8" x14ac:dyDescent="0.3">
      <c r="A10" s="1">
        <v>9</v>
      </c>
      <c r="B10" s="1">
        <v>-0.64310108730000004</v>
      </c>
      <c r="C10" s="1">
        <v>0.68474506040000005</v>
      </c>
      <c r="D10" s="1">
        <v>0.2968223016</v>
      </c>
      <c r="E10" s="1">
        <v>0.98516916570000002</v>
      </c>
    </row>
    <row r="11" spans="1:8" x14ac:dyDescent="0.3">
      <c r="A11" s="1">
        <v>10</v>
      </c>
      <c r="B11" s="1">
        <v>-0.6563152297</v>
      </c>
      <c r="C11" s="1">
        <v>0.67426961669999996</v>
      </c>
      <c r="D11" s="1">
        <v>0.29228078359999998</v>
      </c>
      <c r="E11" s="1">
        <v>0.98530059029999995</v>
      </c>
    </row>
    <row r="12" spans="1:8" ht="15.6" x14ac:dyDescent="0.3">
      <c r="A12" s="1">
        <v>11</v>
      </c>
      <c r="B12" s="1">
        <v>-0.66932627769999997</v>
      </c>
      <c r="C12" s="1">
        <v>0.66358552260000003</v>
      </c>
      <c r="D12" s="1">
        <v>0.2876488204</v>
      </c>
      <c r="E12" s="1">
        <v>0.9854365813</v>
      </c>
      <c r="G12" s="24"/>
    </row>
    <row r="13" spans="1:8" x14ac:dyDescent="0.3">
      <c r="A13" s="1">
        <v>12</v>
      </c>
      <c r="B13" s="1">
        <v>-0.68213029079999998</v>
      </c>
      <c r="C13" s="1">
        <v>0.65269616929999996</v>
      </c>
      <c r="D13" s="1">
        <v>0.28292788200000002</v>
      </c>
      <c r="E13" s="1">
        <v>0.98557709459999998</v>
      </c>
    </row>
    <row r="14" spans="1:8" x14ac:dyDescent="0.3">
      <c r="A14" s="1">
        <v>13</v>
      </c>
      <c r="B14" s="1">
        <v>-0.69472339859999999</v>
      </c>
      <c r="C14" s="1">
        <v>0.64160501140000004</v>
      </c>
      <c r="D14" s="1">
        <v>0.27811946630000001</v>
      </c>
      <c r="E14" s="1">
        <v>0.98572208490000002</v>
      </c>
    </row>
    <row r="15" spans="1:8" x14ac:dyDescent="0.3">
      <c r="A15" s="1">
        <v>14</v>
      </c>
      <c r="B15" s="1">
        <v>-0.70710180229999997</v>
      </c>
      <c r="C15" s="1">
        <v>0.63031556560000002</v>
      </c>
      <c r="D15" s="1">
        <v>0.27322509789999999</v>
      </c>
      <c r="E15" s="1">
        <v>0.98587150540000001</v>
      </c>
    </row>
    <row r="16" spans="1:8" x14ac:dyDescent="0.3">
      <c r="A16" s="1">
        <v>15</v>
      </c>
      <c r="B16" s="1">
        <v>-0.71926177579999995</v>
      </c>
      <c r="C16" s="1">
        <v>0.61883140960000005</v>
      </c>
      <c r="D16" s="1">
        <v>0.26824632770000001</v>
      </c>
      <c r="E16" s="1">
        <v>0.98602530799999999</v>
      </c>
    </row>
    <row r="17" spans="1:5" x14ac:dyDescent="0.3">
      <c r="A17" s="1">
        <v>16</v>
      </c>
      <c r="B17" s="1">
        <v>-0.73119966660000002</v>
      </c>
      <c r="C17" s="1">
        <v>0.60715618019999995</v>
      </c>
      <c r="D17" s="1">
        <v>0.26318473250000002</v>
      </c>
      <c r="E17" s="1">
        <v>0.98618344290000004</v>
      </c>
    </row>
    <row r="18" spans="1:5" x14ac:dyDescent="0.3">
      <c r="A18" s="1">
        <v>17</v>
      </c>
      <c r="B18" s="1">
        <v>-0.74291189739999997</v>
      </c>
      <c r="C18" s="1">
        <v>0.59529357270000005</v>
      </c>
      <c r="D18" s="1">
        <v>0.2580419142</v>
      </c>
      <c r="E18" s="1">
        <v>0.98634585939999997</v>
      </c>
    </row>
    <row r="19" spans="1:5" x14ac:dyDescent="0.3">
      <c r="A19" s="1">
        <v>18</v>
      </c>
      <c r="B19" s="1">
        <v>-0.75439496669999995</v>
      </c>
      <c r="C19" s="1">
        <v>0.5832473386</v>
      </c>
      <c r="D19" s="1">
        <v>0.25281949939999998</v>
      </c>
      <c r="E19" s="1">
        <v>0.98651250530000001</v>
      </c>
    </row>
    <row r="20" spans="1:5" x14ac:dyDescent="0.3">
      <c r="A20" s="1">
        <v>19</v>
      </c>
      <c r="B20" s="1">
        <v>-0.76564545049999999</v>
      </c>
      <c r="C20" s="1">
        <v>0.57102128500000005</v>
      </c>
      <c r="D20" s="1">
        <v>0.2475191384</v>
      </c>
      <c r="E20" s="1">
        <v>0.98668332690000005</v>
      </c>
    </row>
    <row r="21" spans="1:5" x14ac:dyDescent="0.3">
      <c r="A21" s="1">
        <v>20</v>
      </c>
      <c r="B21" s="1">
        <v>-0.7766600025</v>
      </c>
      <c r="C21" s="1">
        <v>0.5586192727</v>
      </c>
      <c r="D21" s="1">
        <v>0.24214250500000001</v>
      </c>
      <c r="E21" s="1">
        <v>0.9868582695</v>
      </c>
    </row>
    <row r="22" spans="1:5" x14ac:dyDescent="0.3">
      <c r="A22" s="1">
        <v>21</v>
      </c>
      <c r="B22" s="1">
        <v>-0.78743535600000003</v>
      </c>
      <c r="C22" s="1">
        <v>0.54604521480000001</v>
      </c>
      <c r="D22" s="1">
        <v>0.2366912957</v>
      </c>
      <c r="E22" s="1">
        <v>0.98703727689999998</v>
      </c>
    </row>
    <row r="23" spans="1:5" x14ac:dyDescent="0.3">
      <c r="A23" s="1">
        <v>22</v>
      </c>
      <c r="B23" s="1">
        <v>-0.79796832429999998</v>
      </c>
      <c r="C23" s="1">
        <v>0.5333030755</v>
      </c>
      <c r="D23" s="1">
        <v>0.23116722910000001</v>
      </c>
      <c r="E23" s="1">
        <v>0.98722029190000005</v>
      </c>
    </row>
    <row r="24" spans="1:5" x14ac:dyDescent="0.3">
      <c r="A24" s="1">
        <v>23</v>
      </c>
      <c r="B24" s="1">
        <v>-0.8082558017</v>
      </c>
      <c r="C24" s="1">
        <v>0.52039686819999997</v>
      </c>
      <c r="D24" s="1">
        <v>0.225572045</v>
      </c>
      <c r="E24" s="1">
        <v>0.98740725579999999</v>
      </c>
    </row>
    <row r="25" spans="1:5" x14ac:dyDescent="0.3">
      <c r="A25" s="1">
        <v>24</v>
      </c>
      <c r="B25" s="1">
        <v>-0.81829476450000005</v>
      </c>
      <c r="C25" s="1">
        <v>0.50733065440000003</v>
      </c>
      <c r="D25" s="1">
        <v>0.2199075043</v>
      </c>
      <c r="E25" s="1">
        <v>0.987598109</v>
      </c>
    </row>
    <row r="26" spans="1:5" x14ac:dyDescent="0.3">
      <c r="A26" s="1">
        <v>25</v>
      </c>
      <c r="B26" s="1">
        <v>-0.82808227190000006</v>
      </c>
      <c r="C26" s="1">
        <v>0.49410854199999998</v>
      </c>
      <c r="D26" s="1">
        <v>0.2141753877</v>
      </c>
      <c r="E26" s="1">
        <v>0.98779279050000002</v>
      </c>
    </row>
    <row r="27" spans="1:5" x14ac:dyDescent="0.3">
      <c r="A27" s="1">
        <v>26</v>
      </c>
      <c r="B27" s="1">
        <v>-0.83761546669999998</v>
      </c>
      <c r="C27" s="1">
        <v>0.48073468380000001</v>
      </c>
      <c r="D27" s="1">
        <v>0.2083774957</v>
      </c>
      <c r="E27" s="1">
        <v>0.98799123830000002</v>
      </c>
    </row>
    <row r="28" spans="1:5" x14ac:dyDescent="0.3">
      <c r="A28" s="1">
        <v>27</v>
      </c>
      <c r="B28" s="1">
        <v>-0.84689157609999999</v>
      </c>
      <c r="C28" s="1">
        <v>0.4672132759</v>
      </c>
      <c r="D28" s="1">
        <v>0.2025156474</v>
      </c>
      <c r="E28" s="1">
        <v>0.98819338909999999</v>
      </c>
    </row>
    <row r="29" spans="1:5" x14ac:dyDescent="0.3">
      <c r="A29" s="1">
        <v>28</v>
      </c>
      <c r="B29" s="1">
        <v>-0.85590791239999997</v>
      </c>
      <c r="C29" s="1">
        <v>0.45354855649999998</v>
      </c>
      <c r="D29" s="1">
        <v>0.19659167999999999</v>
      </c>
      <c r="E29" s="1">
        <v>0.98839917860000004</v>
      </c>
    </row>
    <row r="30" spans="1:5" x14ac:dyDescent="0.3">
      <c r="A30" s="1">
        <v>29</v>
      </c>
      <c r="B30" s="1">
        <v>-0.86466187409999995</v>
      </c>
      <c r="C30" s="1">
        <v>0.43974480379999997</v>
      </c>
      <c r="D30" s="1">
        <v>0.19060744839999999</v>
      </c>
      <c r="E30" s="1">
        <v>0.98860854149999999</v>
      </c>
    </row>
    <row r="31" spans="1:5" x14ac:dyDescent="0.3">
      <c r="A31" s="1">
        <v>30</v>
      </c>
      <c r="B31" s="1">
        <v>-0.87315094589999998</v>
      </c>
      <c r="C31" s="1">
        <v>0.42580633499999998</v>
      </c>
      <c r="D31" s="1">
        <v>0.18456482399999999</v>
      </c>
      <c r="E31" s="1">
        <v>0.98882141130000001</v>
      </c>
    </row>
    <row r="32" spans="1:5" x14ac:dyDescent="0.3">
      <c r="A32" s="1">
        <v>31</v>
      </c>
      <c r="B32" s="1">
        <v>-0.8813726999</v>
      </c>
      <c r="C32" s="1">
        <v>0.4117375043</v>
      </c>
      <c r="D32" s="1">
        <v>0.1784656946</v>
      </c>
      <c r="E32" s="1">
        <v>0.98903772059999995</v>
      </c>
    </row>
    <row r="33" spans="1:5" x14ac:dyDescent="0.3">
      <c r="A33" s="1">
        <v>32</v>
      </c>
      <c r="B33" s="1">
        <v>-0.88932479610000004</v>
      </c>
      <c r="C33" s="1">
        <v>0.39754270180000001</v>
      </c>
      <c r="D33" s="1">
        <v>0.1723119632</v>
      </c>
      <c r="E33" s="1">
        <v>0.98925740090000003</v>
      </c>
    </row>
    <row r="34" spans="1:5" x14ac:dyDescent="0.3">
      <c r="A34" s="1">
        <v>33</v>
      </c>
      <c r="B34" s="1">
        <v>-0.89700498250000005</v>
      </c>
      <c r="C34" s="1">
        <v>0.38322635119999998</v>
      </c>
      <c r="D34" s="1">
        <v>0.16610554769999999</v>
      </c>
      <c r="E34" s="1">
        <v>0.98948038279999995</v>
      </c>
    </row>
    <row r="35" spans="1:5" x14ac:dyDescent="0.3">
      <c r="A35" s="1">
        <v>34</v>
      </c>
      <c r="B35" s="1">
        <v>-0.90441109649999996</v>
      </c>
      <c r="C35" s="1">
        <v>0.368792909</v>
      </c>
      <c r="D35" s="1">
        <v>0.15984838009999999</v>
      </c>
      <c r="E35" s="1">
        <v>0.98970659579999998</v>
      </c>
    </row>
    <row r="36" spans="1:5" x14ac:dyDescent="0.3">
      <c r="A36" s="1">
        <v>35</v>
      </c>
      <c r="B36" s="1">
        <v>-0.91154106450000005</v>
      </c>
      <c r="C36" s="1">
        <v>0.35424686239999997</v>
      </c>
      <c r="D36" s="1">
        <v>0.15354240559999999</v>
      </c>
      <c r="E36" s="1">
        <v>0.9899359687</v>
      </c>
    </row>
    <row r="37" spans="1:5" x14ac:dyDescent="0.3">
      <c r="A37" s="1">
        <v>36</v>
      </c>
      <c r="B37" s="1">
        <v>-0.91839290299999998</v>
      </c>
      <c r="C37" s="1">
        <v>0.33959272810000002</v>
      </c>
      <c r="D37" s="1">
        <v>0.14718958230000001</v>
      </c>
      <c r="E37" s="1">
        <v>0.99016842930000004</v>
      </c>
    </row>
    <row r="38" spans="1:5" x14ac:dyDescent="0.3">
      <c r="A38" s="1">
        <v>37</v>
      </c>
      <c r="B38" s="1">
        <v>-0.92496471859999996</v>
      </c>
      <c r="C38" s="1">
        <v>0.32483505019999998</v>
      </c>
      <c r="D38" s="1">
        <v>0.14079188009999999</v>
      </c>
      <c r="E38" s="1">
        <v>0.99040390440000003</v>
      </c>
    </row>
    <row r="39" spans="1:5" x14ac:dyDescent="0.3">
      <c r="A39" s="1">
        <v>38</v>
      </c>
      <c r="B39" s="1">
        <v>-0.93125470860000004</v>
      </c>
      <c r="C39" s="1">
        <v>0.30997839900000002</v>
      </c>
      <c r="D39" s="1">
        <v>0.13435128039999999</v>
      </c>
      <c r="E39" s="1">
        <v>0.99064232019999998</v>
      </c>
    </row>
    <row r="40" spans="1:5" x14ac:dyDescent="0.3">
      <c r="A40" s="1">
        <v>39</v>
      </c>
      <c r="B40" s="1">
        <v>-0.93726116130000003</v>
      </c>
      <c r="C40" s="1">
        <v>0.29502736940000002</v>
      </c>
      <c r="D40" s="1">
        <v>0.12786977499999999</v>
      </c>
      <c r="E40" s="1">
        <v>0.99088360190000002</v>
      </c>
    </row>
    <row r="41" spans="1:5" x14ac:dyDescent="0.3">
      <c r="A41" s="1">
        <v>40</v>
      </c>
      <c r="B41" s="1">
        <v>-0.9429824564</v>
      </c>
      <c r="C41" s="1">
        <v>0.27998657919999997</v>
      </c>
      <c r="D41" s="1">
        <v>0.1213493658</v>
      </c>
      <c r="E41" s="1">
        <v>0.99112767400000001</v>
      </c>
    </row>
    <row r="42" spans="1:5" x14ac:dyDescent="0.3">
      <c r="A42" s="1">
        <v>41</v>
      </c>
      <c r="B42" s="1">
        <v>-0.94841706510000001</v>
      </c>
      <c r="C42" s="1">
        <v>0.26486066720000001</v>
      </c>
      <c r="D42" s="1">
        <v>0.1147920639</v>
      </c>
      <c r="E42" s="1">
        <v>0.99137446019999997</v>
      </c>
    </row>
    <row r="43" spans="1:5" x14ac:dyDescent="0.3">
      <c r="A43" s="1">
        <v>42</v>
      </c>
      <c r="B43" s="1">
        <v>-0.95356355029999995</v>
      </c>
      <c r="C43" s="1">
        <v>0.24965429219999999</v>
      </c>
      <c r="D43" s="1">
        <v>0.10819988899999999</v>
      </c>
      <c r="E43" s="1">
        <v>0.99162388339999996</v>
      </c>
    </row>
    <row r="44" spans="1:5" x14ac:dyDescent="0.3">
      <c r="A44" s="1">
        <v>43</v>
      </c>
      <c r="B44" s="1">
        <v>-0.95842056720000002</v>
      </c>
      <c r="C44" s="1">
        <v>0.23437213109999999</v>
      </c>
      <c r="D44" s="1">
        <v>0.1015748683</v>
      </c>
      <c r="E44" s="1">
        <v>0.99187586589999999</v>
      </c>
    </row>
    <row r="45" spans="1:5" x14ac:dyDescent="0.3">
      <c r="A45" s="1">
        <v>44</v>
      </c>
      <c r="B45" s="1">
        <v>-0.96298686300000003</v>
      </c>
      <c r="C45" s="1">
        <v>0.21901887710000001</v>
      </c>
      <c r="D45" s="1">
        <v>9.4919036700000001E-2</v>
      </c>
      <c r="E45" s="1">
        <v>0.99213032940000001</v>
      </c>
    </row>
    <row r="46" spans="1:5" x14ac:dyDescent="0.3">
      <c r="A46" s="1">
        <v>45</v>
      </c>
      <c r="B46" s="1">
        <v>-0.9672612773</v>
      </c>
      <c r="C46" s="1">
        <v>0.20359923860000001</v>
      </c>
      <c r="D46" s="1">
        <v>8.8234435200000003E-2</v>
      </c>
      <c r="E46" s="1">
        <v>0.99238719460000002</v>
      </c>
    </row>
    <row r="47" spans="1:5" x14ac:dyDescent="0.3">
      <c r="A47" s="1">
        <v>46</v>
      </c>
      <c r="B47" s="1">
        <v>-0.97124274200000005</v>
      </c>
      <c r="C47" s="1">
        <v>0.18811793709999999</v>
      </c>
      <c r="D47" s="1">
        <v>8.1523110499999996E-2</v>
      </c>
      <c r="E47" s="1">
        <v>0.99264638199999999</v>
      </c>
    </row>
    <row r="48" spans="1:5" x14ac:dyDescent="0.3">
      <c r="A48" s="1">
        <v>47</v>
      </c>
      <c r="B48" s="1">
        <v>-0.97493028169999996</v>
      </c>
      <c r="C48" s="1">
        <v>0.17257970610000001</v>
      </c>
      <c r="D48" s="1">
        <v>7.4787114799999999E-2</v>
      </c>
      <c r="E48" s="1">
        <v>0.99290781130000005</v>
      </c>
    </row>
    <row r="49" spans="1:5" x14ac:dyDescent="0.3">
      <c r="A49" s="1">
        <v>48</v>
      </c>
      <c r="B49" s="1">
        <v>-0.97832301340000005</v>
      </c>
      <c r="C49" s="1">
        <v>0.156989289</v>
      </c>
      <c r="D49" s="1">
        <v>6.8028504300000001E-2</v>
      </c>
      <c r="E49" s="1">
        <v>0.99317140150000005</v>
      </c>
    </row>
    <row r="50" spans="1:5" x14ac:dyDescent="0.3">
      <c r="A50" s="1">
        <v>49</v>
      </c>
      <c r="B50" s="1">
        <v>-0.98142014659999999</v>
      </c>
      <c r="C50" s="1">
        <v>0.1413514381</v>
      </c>
      <c r="D50" s="1">
        <v>6.1249339299999997E-2</v>
      </c>
      <c r="E50" s="1">
        <v>0.99343707140000004</v>
      </c>
    </row>
    <row r="51" spans="1:5" x14ac:dyDescent="0.3">
      <c r="A51" s="1">
        <v>50</v>
      </c>
      <c r="B51" s="1">
        <v>-0.98422098339999997</v>
      </c>
      <c r="C51" s="1">
        <v>0.1256709124</v>
      </c>
      <c r="D51" s="1">
        <v>5.4451682699999997E-2</v>
      </c>
      <c r="E51" s="1">
        <v>0.9937047389</v>
      </c>
    </row>
    <row r="52" spans="1:5" x14ac:dyDescent="0.3">
      <c r="A52" s="1">
        <v>51</v>
      </c>
      <c r="B52" s="1">
        <v>-0.98672491819999997</v>
      </c>
      <c r="C52" s="1">
        <v>0.1099524769</v>
      </c>
      <c r="D52" s="1">
        <v>4.7637600199999998E-2</v>
      </c>
      <c r="E52" s="1">
        <v>0.9939743217</v>
      </c>
    </row>
    <row r="53" spans="1:5" x14ac:dyDescent="0.3">
      <c r="A53" s="1">
        <v>52</v>
      </c>
      <c r="B53" s="1">
        <v>-0.98893143770000003</v>
      </c>
      <c r="C53" s="1">
        <v>9.4200899899999996E-2</v>
      </c>
      <c r="D53" s="1">
        <v>4.0809159099999999E-2</v>
      </c>
      <c r="E53" s="1">
        <v>0.99424573699999996</v>
      </c>
    </row>
    <row r="54" spans="1:5" x14ac:dyDescent="0.3">
      <c r="A54" s="1">
        <v>53</v>
      </c>
      <c r="B54" s="1">
        <v>-0.99084012099999996</v>
      </c>
      <c r="C54" s="1">
        <v>7.8420952799999999E-2</v>
      </c>
      <c r="D54" s="1">
        <v>3.3968427500000002E-2</v>
      </c>
      <c r="E54" s="1">
        <v>0.99451890139999999</v>
      </c>
    </row>
    <row r="55" spans="1:5" x14ac:dyDescent="0.3">
      <c r="A55" s="1">
        <v>54</v>
      </c>
      <c r="B55" s="1">
        <v>-0.99245063889999996</v>
      </c>
      <c r="C55" s="1">
        <v>6.2617407200000003E-2</v>
      </c>
      <c r="D55" s="1">
        <v>2.7117474200000002E-2</v>
      </c>
      <c r="E55" s="1">
        <v>0.99479373130000004</v>
      </c>
    </row>
    <row r="56" spans="1:5" x14ac:dyDescent="0.3">
      <c r="A56" s="1">
        <v>55</v>
      </c>
      <c r="B56" s="1">
        <v>-0.99376275439999995</v>
      </c>
      <c r="C56" s="1">
        <v>4.6795034499999999E-2</v>
      </c>
      <c r="D56" s="1">
        <v>2.0258367499999999E-2</v>
      </c>
      <c r="E56" s="1">
        <v>0.99507014260000004</v>
      </c>
    </row>
    <row r="57" spans="1:5" x14ac:dyDescent="0.3">
      <c r="A57" s="1">
        <v>56</v>
      </c>
      <c r="B57" s="1">
        <v>-0.99477632169999997</v>
      </c>
      <c r="C57" s="1">
        <v>3.0958603800000001E-2</v>
      </c>
      <c r="D57" s="1">
        <v>1.3393174799999999E-2</v>
      </c>
      <c r="E57" s="1">
        <v>0.99534805100000001</v>
      </c>
    </row>
    <row r="58" spans="1:5" x14ac:dyDescent="0.3">
      <c r="A58" s="1">
        <v>57</v>
      </c>
      <c r="B58" s="1">
        <v>-0.99549128679999999</v>
      </c>
      <c r="C58" s="1">
        <v>1.5112880400000001E-2</v>
      </c>
      <c r="D58" s="1">
        <v>6.5239620000000003E-3</v>
      </c>
      <c r="E58" s="1">
        <v>0.99562737170000004</v>
      </c>
    </row>
    <row r="59" spans="1:5" x14ac:dyDescent="0.3">
      <c r="A59" s="1">
        <v>58</v>
      </c>
      <c r="B59" s="1">
        <v>-0.99590768620000003</v>
      </c>
      <c r="C59" s="1">
        <v>-7.3737539999999999E-4</v>
      </c>
      <c r="D59" s="1">
        <v>-3.4720740000000001E-4</v>
      </c>
      <c r="E59" s="1">
        <v>0.99590801969999998</v>
      </c>
    </row>
    <row r="60" spans="1:5" x14ac:dyDescent="0.3">
      <c r="A60" s="1">
        <v>59</v>
      </c>
      <c r="B60" s="1">
        <v>-0.99602564760000001</v>
      </c>
      <c r="C60" s="1">
        <v>-1.6587409899999999E-2</v>
      </c>
      <c r="D60" s="1">
        <v>-7.2182725999999997E-3</v>
      </c>
      <c r="E60" s="1">
        <v>0.9961899098</v>
      </c>
    </row>
    <row r="61" spans="1:5" x14ac:dyDescent="0.3">
      <c r="A61" s="1">
        <v>60</v>
      </c>
      <c r="B61" s="1">
        <v>-0.99584538899999997</v>
      </c>
      <c r="C61" s="1">
        <v>-3.2432477699999997E-2</v>
      </c>
      <c r="D61" s="1">
        <v>-1.40871764E-2</v>
      </c>
      <c r="E61" s="1">
        <v>0.99647295650000001</v>
      </c>
    </row>
    <row r="62" spans="1:5" x14ac:dyDescent="0.3">
      <c r="A62" s="1">
        <v>61</v>
      </c>
      <c r="B62" s="1">
        <v>-0.99536721829999997</v>
      </c>
      <c r="C62" s="1">
        <v>-4.8267842999999998E-2</v>
      </c>
      <c r="D62" s="1">
        <v>-2.0951865900000002E-2</v>
      </c>
      <c r="E62" s="1">
        <v>0.99675707400000002</v>
      </c>
    </row>
    <row r="63" spans="1:5" x14ac:dyDescent="0.3">
      <c r="A63" s="1">
        <v>62</v>
      </c>
      <c r="B63" s="1">
        <v>-0.99459153300000003</v>
      </c>
      <c r="C63" s="1">
        <v>-6.40887807E-2</v>
      </c>
      <c r="D63" s="1">
        <v>-2.7810292800000001E-2</v>
      </c>
      <c r="E63" s="1">
        <v>0.99704217650000004</v>
      </c>
    </row>
    <row r="64" spans="1:5" x14ac:dyDescent="0.3">
      <c r="A64" s="1">
        <v>63</v>
      </c>
      <c r="B64" s="1">
        <v>-0.99351882010000003</v>
      </c>
      <c r="C64" s="1">
        <v>-7.9890578500000003E-2</v>
      </c>
      <c r="D64" s="1">
        <v>-3.4660414299999998E-2</v>
      </c>
      <c r="E64" s="1">
        <v>0.99732817809999996</v>
      </c>
    </row>
    <row r="65" spans="1:5" x14ac:dyDescent="0.3">
      <c r="A65" s="1">
        <v>64</v>
      </c>
      <c r="B65" s="1">
        <v>-0.99214965499999996</v>
      </c>
      <c r="C65" s="1">
        <v>-9.56685377E-2</v>
      </c>
      <c r="D65" s="1">
        <v>-4.1500193300000002E-2</v>
      </c>
      <c r="E65" s="1">
        <v>0.99761499239999996</v>
      </c>
    </row>
    <row r="66" spans="1:5" x14ac:dyDescent="0.3">
      <c r="A66" s="1">
        <v>65</v>
      </c>
      <c r="B66" s="1">
        <v>-0.99048470150000001</v>
      </c>
      <c r="C66" s="1">
        <v>-0.1114179751</v>
      </c>
      <c r="D66" s="1">
        <v>-4.8327599899999997E-2</v>
      </c>
      <c r="E66" s="1">
        <v>0.99790253330000001</v>
      </c>
    </row>
    <row r="67" spans="1:5" x14ac:dyDescent="0.3">
      <c r="A67" s="1">
        <v>66</v>
      </c>
      <c r="B67" s="1">
        <v>-0.98852471109999995</v>
      </c>
      <c r="C67" s="1">
        <v>-0.12713422390000001</v>
      </c>
      <c r="D67" s="1">
        <v>-5.5140610899999998E-2</v>
      </c>
      <c r="E67" s="1">
        <v>0.99819071439999996</v>
      </c>
    </row>
    <row r="68" spans="1:5" x14ac:dyDescent="0.3">
      <c r="A68" s="1">
        <v>67</v>
      </c>
      <c r="B68" s="1">
        <v>-0.98627052270000004</v>
      </c>
      <c r="C68" s="1">
        <v>-0.14281263559999999</v>
      </c>
      <c r="D68" s="1">
        <v>-6.1937211200000002E-2</v>
      </c>
      <c r="E68" s="1">
        <v>0.9984794495</v>
      </c>
    </row>
    <row r="69" spans="1:5" x14ac:dyDescent="0.3">
      <c r="A69" s="1">
        <v>68</v>
      </c>
      <c r="B69" s="1">
        <v>-0.98372306170000001</v>
      </c>
      <c r="C69" s="1">
        <v>-0.15844858079999999</v>
      </c>
      <c r="D69" s="1">
        <v>-6.8715393999999999E-2</v>
      </c>
      <c r="E69" s="1">
        <v>0.99876865199999998</v>
      </c>
    </row>
    <row r="70" spans="1:5" x14ac:dyDescent="0.3">
      <c r="A70" s="1">
        <v>69</v>
      </c>
      <c r="B70" s="1">
        <v>-0.98088333959999996</v>
      </c>
      <c r="C70" s="1">
        <v>-0.17403745100000001</v>
      </c>
      <c r="D70" s="1">
        <v>-7.5473161400000002E-2</v>
      </c>
      <c r="E70" s="1">
        <v>0.99905823569999996</v>
      </c>
    </row>
    <row r="71" spans="1:5" x14ac:dyDescent="0.3">
      <c r="A71" s="1">
        <v>70</v>
      </c>
      <c r="B71" s="1">
        <v>-0.97775245340000005</v>
      </c>
      <c r="C71" s="1">
        <v>-0.18957465979999999</v>
      </c>
      <c r="D71" s="1">
        <v>-8.2208525399999996E-2</v>
      </c>
      <c r="E71" s="1">
        <v>0.99934811430000003</v>
      </c>
    </row>
    <row r="72" spans="1:5" x14ac:dyDescent="0.3">
      <c r="A72" s="1">
        <v>71</v>
      </c>
      <c r="B72" s="1">
        <v>-0.97433158500000006</v>
      </c>
      <c r="C72" s="1">
        <v>-0.20505564400000001</v>
      </c>
      <c r="D72" s="1">
        <v>-8.8919507699999997E-2</v>
      </c>
      <c r="E72" s="1">
        <v>0.99963820130000003</v>
      </c>
    </row>
    <row r="73" spans="1:5" x14ac:dyDescent="0.3">
      <c r="A73" s="1">
        <v>72</v>
      </c>
      <c r="B73" s="1">
        <v>-0.97062200040000002</v>
      </c>
      <c r="C73" s="1">
        <v>-0.22047586529999999</v>
      </c>
      <c r="D73" s="1">
        <v>-9.5604141000000004E-2</v>
      </c>
      <c r="E73" s="1">
        <v>0.99992841079999994</v>
      </c>
    </row>
    <row r="74" spans="1:5" x14ac:dyDescent="0.3">
      <c r="A74" s="1">
        <v>73</v>
      </c>
      <c r="B74" s="1">
        <v>-0.96662504920000003</v>
      </c>
      <c r="C74" s="1">
        <v>-0.235830811</v>
      </c>
      <c r="D74" s="1">
        <v>-0.1022604691</v>
      </c>
      <c r="E74" s="1">
        <v>1.0002186565</v>
      </c>
    </row>
    <row r="75" spans="1:5" x14ac:dyDescent="0.3">
      <c r="A75" s="1">
        <v>74</v>
      </c>
      <c r="B75" s="1">
        <v>-0.96234216390000005</v>
      </c>
      <c r="C75" s="1">
        <v>-0.25111599600000001</v>
      </c>
      <c r="D75" s="1">
        <v>-0.1088865477</v>
      </c>
      <c r="E75" s="1">
        <v>1.0005088526000001</v>
      </c>
    </row>
    <row r="76" spans="1:5" x14ac:dyDescent="0.3">
      <c r="A76" s="1">
        <v>75</v>
      </c>
      <c r="B76" s="1">
        <v>-0.95777485890000003</v>
      </c>
      <c r="C76" s="1">
        <v>-0.26632696319999999</v>
      </c>
      <c r="D76" s="1">
        <v>-0.1154804447</v>
      </c>
      <c r="E76" s="1">
        <v>1.0007989131999999</v>
      </c>
    </row>
    <row r="77" spans="1:5" x14ac:dyDescent="0.3">
      <c r="A77" s="1">
        <v>76</v>
      </c>
      <c r="B77" s="1">
        <v>-0.95292473020000001</v>
      </c>
      <c r="C77" s="1">
        <v>-0.2814592856</v>
      </c>
      <c r="D77" s="1">
        <v>-0.12204024099999999</v>
      </c>
      <c r="E77" s="1">
        <v>1.0010887529000001</v>
      </c>
    </row>
    <row r="78" spans="1:5" x14ac:dyDescent="0.3">
      <c r="A78" s="1">
        <v>77</v>
      </c>
      <c r="B78" s="1">
        <v>-0.94779345429999995</v>
      </c>
      <c r="C78" s="1">
        <v>-0.29650856689999999</v>
      </c>
      <c r="D78" s="1">
        <v>-0.12856403080000001</v>
      </c>
      <c r="E78" s="1">
        <v>1.0013782863</v>
      </c>
    </row>
    <row r="79" spans="1:5" x14ac:dyDescent="0.3">
      <c r="A79" s="1">
        <v>78</v>
      </c>
      <c r="B79" s="1">
        <v>-0.94238278769999995</v>
      </c>
      <c r="C79" s="1">
        <v>-0.31147044270000002</v>
      </c>
      <c r="D79" s="1">
        <v>-0.13504992230000001</v>
      </c>
      <c r="E79" s="1">
        <v>1.0016674282</v>
      </c>
    </row>
    <row r="80" spans="1:5" x14ac:dyDescent="0.3">
      <c r="A80" s="1">
        <v>79</v>
      </c>
      <c r="B80" s="1">
        <v>-0.93669456579999999</v>
      </c>
      <c r="C80" s="1">
        <v>-0.3263405821</v>
      </c>
      <c r="D80" s="1">
        <v>-0.1414960378</v>
      </c>
      <c r="E80" s="1">
        <v>1.0019560938000001</v>
      </c>
    </row>
    <row r="81" spans="1:5" x14ac:dyDescent="0.3">
      <c r="A81" s="1">
        <v>80</v>
      </c>
      <c r="B81" s="1">
        <v>-0.93073070229999999</v>
      </c>
      <c r="C81" s="1">
        <v>-0.34111468849999999</v>
      </c>
      <c r="D81" s="1">
        <v>-0.14790051509999999</v>
      </c>
      <c r="E81" s="1">
        <v>1.0022441983999999</v>
      </c>
    </row>
    <row r="82" spans="1:5" x14ac:dyDescent="0.3">
      <c r="A82" s="1">
        <v>81</v>
      </c>
      <c r="B82" s="1">
        <v>-0.92449318840000005</v>
      </c>
      <c r="C82" s="1">
        <v>-0.35578850080000002</v>
      </c>
      <c r="D82" s="1">
        <v>-0.1542615068</v>
      </c>
      <c r="E82" s="1">
        <v>1.0025316579000001</v>
      </c>
    </row>
    <row r="83" spans="1:5" x14ac:dyDescent="0.3">
      <c r="A83" s="1">
        <v>82</v>
      </c>
      <c r="B83" s="1">
        <v>-0.91798409169999995</v>
      </c>
      <c r="C83" s="1">
        <v>-0.37035779470000002</v>
      </c>
      <c r="D83" s="1">
        <v>-0.1605771818</v>
      </c>
      <c r="E83" s="1">
        <v>1.0028183882999999</v>
      </c>
    </row>
    <row r="84" spans="1:5" x14ac:dyDescent="0.3">
      <c r="A84" s="1">
        <v>83</v>
      </c>
      <c r="B84" s="1">
        <v>-0.91120555560000005</v>
      </c>
      <c r="C84" s="1">
        <v>-0.38481838340000002</v>
      </c>
      <c r="D84" s="1">
        <v>-0.16684572510000001</v>
      </c>
      <c r="E84" s="1">
        <v>1.003104306</v>
      </c>
    </row>
    <row r="85" spans="1:5" x14ac:dyDescent="0.3">
      <c r="A85" s="1">
        <v>84</v>
      </c>
      <c r="B85" s="1">
        <v>-0.90415979840000005</v>
      </c>
      <c r="C85" s="1">
        <v>-0.3991661192</v>
      </c>
      <c r="D85" s="1">
        <v>-0.1730653388</v>
      </c>
      <c r="E85" s="1">
        <v>1.0033893277999999</v>
      </c>
    </row>
    <row r="86" spans="1:5" x14ac:dyDescent="0.3">
      <c r="A86" s="1">
        <v>85</v>
      </c>
      <c r="B86" s="1">
        <v>-0.89684911219999996</v>
      </c>
      <c r="C86" s="1">
        <v>-0.41339689400000001</v>
      </c>
      <c r="D86" s="1">
        <v>-0.1792342421</v>
      </c>
      <c r="E86" s="1">
        <v>1.0036733710000001</v>
      </c>
    </row>
    <row r="87" spans="1:5" x14ac:dyDescent="0.3">
      <c r="A87" s="1">
        <v>86</v>
      </c>
      <c r="B87" s="1">
        <v>-0.88927586219999999</v>
      </c>
      <c r="C87" s="1">
        <v>-0.42750664109999997</v>
      </c>
      <c r="D87" s="1">
        <v>-0.18535067199999999</v>
      </c>
      <c r="E87" s="1">
        <v>1.0039563531</v>
      </c>
    </row>
    <row r="88" spans="1:5" x14ac:dyDescent="0.3">
      <c r="A88" s="1">
        <v>87</v>
      </c>
      <c r="B88" s="1">
        <v>-0.88144248579999995</v>
      </c>
      <c r="C88" s="1">
        <v>-0.4414913352</v>
      </c>
      <c r="D88" s="1">
        <v>-0.19141288370000001</v>
      </c>
      <c r="E88" s="1">
        <v>1.0042381923000001</v>
      </c>
    </row>
    <row r="89" spans="1:5" x14ac:dyDescent="0.3">
      <c r="A89" s="1">
        <v>88</v>
      </c>
      <c r="B89" s="1">
        <v>-0.8733514912</v>
      </c>
      <c r="C89" s="1">
        <v>-0.45534699439999998</v>
      </c>
      <c r="D89" s="1">
        <v>-0.19741915099999999</v>
      </c>
      <c r="E89" s="1">
        <v>1.004518807</v>
      </c>
    </row>
    <row r="90" spans="1:5" x14ac:dyDescent="0.3">
      <c r="A90" s="1">
        <v>89</v>
      </c>
      <c r="B90" s="1">
        <v>-0.86500545709999999</v>
      </c>
      <c r="C90" s="1">
        <v>-0.46906968059999998</v>
      </c>
      <c r="D90" s="1">
        <v>-0.2033677669</v>
      </c>
      <c r="E90" s="1">
        <v>1.0047981163999999</v>
      </c>
    </row>
    <row r="91" spans="1:5" x14ac:dyDescent="0.3">
      <c r="A91" s="1">
        <v>90</v>
      </c>
      <c r="B91" s="1">
        <v>-0.85640703139999996</v>
      </c>
      <c r="C91" s="1">
        <v>-0.4826555005</v>
      </c>
      <c r="D91" s="1">
        <v>-0.2092570436</v>
      </c>
      <c r="E91" s="1">
        <v>1.0050760399000001</v>
      </c>
    </row>
    <row r="92" spans="1:5" x14ac:dyDescent="0.3">
      <c r="A92" s="1">
        <v>91</v>
      </c>
      <c r="B92" s="1">
        <v>-0.84755893029999996</v>
      </c>
      <c r="C92" s="1">
        <v>-0.49610060700000003</v>
      </c>
      <c r="D92" s="1">
        <v>-0.21508531359999999</v>
      </c>
      <c r="E92" s="1">
        <v>1.0053524976999999</v>
      </c>
    </row>
    <row r="93" spans="1:5" x14ac:dyDescent="0.3">
      <c r="A93" s="1">
        <v>92</v>
      </c>
      <c r="B93" s="1">
        <v>-0.83846393699999999</v>
      </c>
      <c r="C93" s="1">
        <v>-0.50940119949999996</v>
      </c>
      <c r="D93" s="1">
        <v>-0.22085092919999999</v>
      </c>
      <c r="E93" s="1">
        <v>1.0056274104</v>
      </c>
    </row>
    <row r="94" spans="1:5" x14ac:dyDescent="0.3">
      <c r="A94" s="1">
        <v>93</v>
      </c>
      <c r="B94" s="1">
        <v>-0.82912490120000004</v>
      </c>
      <c r="C94" s="1">
        <v>-0.52255352509999997</v>
      </c>
      <c r="D94" s="1">
        <v>-0.22655226370000001</v>
      </c>
      <c r="E94" s="1">
        <v>1.0059006991999999</v>
      </c>
    </row>
    <row r="95" spans="1:5" x14ac:dyDescent="0.3">
      <c r="A95" s="1">
        <v>94</v>
      </c>
      <c r="B95" s="1">
        <v>-0.81954473780000003</v>
      </c>
      <c r="C95" s="1">
        <v>-0.53555387980000002</v>
      </c>
      <c r="D95" s="1">
        <v>-0.2321877115</v>
      </c>
      <c r="E95" s="1">
        <v>1.0061722858</v>
      </c>
    </row>
    <row r="96" spans="1:5" x14ac:dyDescent="0.3">
      <c r="A96" s="1">
        <v>95</v>
      </c>
      <c r="B96" s="1">
        <v>-0.80972642589999999</v>
      </c>
      <c r="C96" s="1">
        <v>-0.54839860890000003</v>
      </c>
      <c r="D96" s="1">
        <v>-0.23775568820000001</v>
      </c>
      <c r="E96" s="1">
        <v>1.0064420929</v>
      </c>
    </row>
    <row r="97" spans="1:5" x14ac:dyDescent="0.3">
      <c r="A97" s="1">
        <v>96</v>
      </c>
      <c r="B97" s="1">
        <v>-0.79967300779999995</v>
      </c>
      <c r="C97" s="1">
        <v>-0.56108410779999995</v>
      </c>
      <c r="D97" s="1">
        <v>-0.24325463150000001</v>
      </c>
      <c r="E97" s="1">
        <v>1.0067100432</v>
      </c>
    </row>
    <row r="98" spans="1:5" x14ac:dyDescent="0.3">
      <c r="A98" s="1">
        <v>97</v>
      </c>
      <c r="B98" s="1">
        <v>-0.78938758789999997</v>
      </c>
      <c r="C98" s="1">
        <v>-0.57360682340000002</v>
      </c>
      <c r="D98" s="1">
        <v>-0.24868300099999999</v>
      </c>
      <c r="E98" s="1">
        <v>1.0069760607</v>
      </c>
    </row>
    <row r="99" spans="1:5" x14ac:dyDescent="0.3">
      <c r="A99" s="1">
        <v>98</v>
      </c>
      <c r="B99" s="1">
        <v>-0.77887333169999995</v>
      </c>
      <c r="C99" s="1">
        <v>-0.58596325439999997</v>
      </c>
      <c r="D99" s="1">
        <v>-0.25403927910000001</v>
      </c>
      <c r="E99" s="1">
        <v>1.0072400695999999</v>
      </c>
    </row>
    <row r="100" spans="1:5" x14ac:dyDescent="0.3">
      <c r="A100" s="1">
        <v>99</v>
      </c>
      <c r="B100" s="1">
        <v>-0.7681334648</v>
      </c>
      <c r="C100" s="1">
        <v>-0.59814995240000002</v>
      </c>
      <c r="D100" s="1">
        <v>-0.25932197089999998</v>
      </c>
      <c r="E100" s="1">
        <v>1.0075019949999999</v>
      </c>
    </row>
    <row r="101" spans="1:5" x14ac:dyDescent="0.3">
      <c r="A101" s="1">
        <v>100</v>
      </c>
      <c r="B101" s="1">
        <v>-0.75717127159999997</v>
      </c>
      <c r="C101" s="1">
        <v>-0.61016352230000004</v>
      </c>
      <c r="D101" s="1">
        <v>-0.26452960469999998</v>
      </c>
      <c r="E101" s="1">
        <v>1.0077617625999999</v>
      </c>
    </row>
    <row r="102" spans="1:5" x14ac:dyDescent="0.3">
      <c r="A102" s="1">
        <v>101</v>
      </c>
      <c r="B102" s="1">
        <v>-0.74599009439999997</v>
      </c>
      <c r="C102" s="1">
        <v>-0.62200062359999997</v>
      </c>
      <c r="D102" s="1">
        <v>-0.2696607325</v>
      </c>
      <c r="E102" s="1">
        <v>1.0080192991000001</v>
      </c>
    </row>
    <row r="103" spans="1:5" x14ac:dyDescent="0.3">
      <c r="A103" s="1">
        <v>102</v>
      </c>
      <c r="B103" s="1">
        <v>-0.73459333240000002</v>
      </c>
      <c r="C103" s="1">
        <v>-0.63365797049999995</v>
      </c>
      <c r="D103" s="1">
        <v>-0.2747139301</v>
      </c>
      <c r="E103" s="1">
        <v>1.0082745315999999</v>
      </c>
    </row>
    <row r="104" spans="1:5" x14ac:dyDescent="0.3">
      <c r="A104" s="1">
        <v>103</v>
      </c>
      <c r="B104" s="1">
        <v>-0.72298444039999998</v>
      </c>
      <c r="C104" s="1">
        <v>-0.64513233339999998</v>
      </c>
      <c r="D104" s="1">
        <v>-0.27968779729999999</v>
      </c>
      <c r="E104" s="1">
        <v>1.0085273881000001</v>
      </c>
    </row>
    <row r="105" spans="1:5" x14ac:dyDescent="0.3">
      <c r="A105" s="1">
        <v>104</v>
      </c>
      <c r="B105" s="1">
        <v>-0.71116692770000001</v>
      </c>
      <c r="C105" s="1">
        <v>-0.65642053860000005</v>
      </c>
      <c r="D105" s="1">
        <v>-0.28458095859999999</v>
      </c>
      <c r="E105" s="1">
        <v>1.0087777974000001</v>
      </c>
    </row>
    <row r="106" spans="1:5" x14ac:dyDescent="0.3">
      <c r="A106" s="1">
        <v>105</v>
      </c>
      <c r="B106" s="1">
        <v>-0.69914435720000001</v>
      </c>
      <c r="C106" s="1">
        <v>-0.66751947010000001</v>
      </c>
      <c r="D106" s="1">
        <v>-0.28939206319999999</v>
      </c>
      <c r="E106" s="1">
        <v>1.0090256892</v>
      </c>
    </row>
    <row r="107" spans="1:5" x14ac:dyDescent="0.3">
      <c r="A107" s="1">
        <v>106</v>
      </c>
      <c r="B107" s="1">
        <v>-0.68692034400000002</v>
      </c>
      <c r="C107" s="1">
        <v>-0.67842606930000005</v>
      </c>
      <c r="D107" s="1">
        <v>-0.29411978529999999</v>
      </c>
      <c r="E107" s="1">
        <v>1.0092709937</v>
      </c>
    </row>
    <row r="108" spans="1:5" x14ac:dyDescent="0.3">
      <c r="A108" s="1">
        <v>107</v>
      </c>
      <c r="B108" s="1">
        <v>-0.67449855459999997</v>
      </c>
      <c r="C108" s="1">
        <v>-0.68913733629999996</v>
      </c>
      <c r="D108" s="1">
        <v>-0.29876282459999998</v>
      </c>
      <c r="E108" s="1">
        <v>1.0095136421999999</v>
      </c>
    </row>
    <row r="109" spans="1:5" x14ac:dyDescent="0.3">
      <c r="A109" s="1">
        <v>108</v>
      </c>
      <c r="B109" s="1">
        <v>-0.66188270540000005</v>
      </c>
      <c r="C109" s="1">
        <v>-0.6996503301</v>
      </c>
      <c r="D109" s="1">
        <v>-0.30331990609999998</v>
      </c>
      <c r="E109" s="1">
        <v>1.0097535667999999</v>
      </c>
    </row>
    <row r="110" spans="1:5" x14ac:dyDescent="0.3">
      <c r="A110" s="1">
        <v>109</v>
      </c>
      <c r="B110" s="1">
        <v>-0.64907656199999997</v>
      </c>
      <c r="C110" s="1">
        <v>-0.70996216950000002</v>
      </c>
      <c r="D110" s="1">
        <v>-0.30778978099999998</v>
      </c>
      <c r="E110" s="1">
        <v>1.0099907002999999</v>
      </c>
    </row>
    <row r="111" spans="1:5" x14ac:dyDescent="0.3">
      <c r="A111" s="1">
        <v>110</v>
      </c>
      <c r="B111" s="1">
        <v>-0.63608393760000004</v>
      </c>
      <c r="C111" s="1">
        <v>-0.72007003349999998</v>
      </c>
      <c r="D111" s="1">
        <v>-0.31217122650000001</v>
      </c>
      <c r="E111" s="1">
        <v>1.0102249767</v>
      </c>
    </row>
    <row r="112" spans="1:5" x14ac:dyDescent="0.3">
      <c r="A112" s="1">
        <v>111</v>
      </c>
      <c r="B112" s="1">
        <v>-0.6229086922</v>
      </c>
      <c r="C112" s="1">
        <v>-0.72997116200000001</v>
      </c>
      <c r="D112" s="1">
        <v>-0.31646304619999999</v>
      </c>
      <c r="E112" s="1">
        <v>1.0104563305000001</v>
      </c>
    </row>
    <row r="113" spans="1:5" x14ac:dyDescent="0.3">
      <c r="A113" s="1">
        <v>112</v>
      </c>
      <c r="B113" s="1">
        <v>-0.60955473140000005</v>
      </c>
      <c r="C113" s="1">
        <v>-0.73966285629999995</v>
      </c>
      <c r="D113" s="1">
        <v>-0.32066407019999998</v>
      </c>
      <c r="E113" s="1">
        <v>1.0106846974000001</v>
      </c>
    </row>
    <row r="114" spans="1:5" x14ac:dyDescent="0.3">
      <c r="A114" s="1">
        <v>113</v>
      </c>
      <c r="B114" s="1">
        <v>-0.59602600500000003</v>
      </c>
      <c r="C114" s="1">
        <v>-0.74914247960000002</v>
      </c>
      <c r="D114" s="1">
        <v>-0.32477315569999998</v>
      </c>
      <c r="E114" s="1">
        <v>1.0109100138</v>
      </c>
    </row>
    <row r="115" spans="1:5" x14ac:dyDescent="0.3">
      <c r="A115" s="1">
        <v>114</v>
      </c>
      <c r="B115" s="1">
        <v>-0.58232650620000004</v>
      </c>
      <c r="C115" s="1">
        <v>-0.75840745759999995</v>
      </c>
      <c r="D115" s="1">
        <v>-0.32878918670000001</v>
      </c>
      <c r="E115" s="1">
        <v>1.0111322172999999</v>
      </c>
    </row>
    <row r="116" spans="1:5" x14ac:dyDescent="0.3">
      <c r="A116" s="1">
        <v>115</v>
      </c>
      <c r="B116" s="1">
        <v>-0.56846027020000001</v>
      </c>
      <c r="C116" s="1">
        <v>-0.76745527889999998</v>
      </c>
      <c r="D116" s="1">
        <v>-0.33271107480000001</v>
      </c>
      <c r="E116" s="1">
        <v>1.0113512462000001</v>
      </c>
    </row>
    <row r="117" spans="1:5" x14ac:dyDescent="0.3">
      <c r="A117" s="1">
        <v>116</v>
      </c>
      <c r="B117" s="1">
        <v>-0.55443137300000001</v>
      </c>
      <c r="C117" s="1">
        <v>-0.77628349569999999</v>
      </c>
      <c r="D117" s="1">
        <v>-0.33653775870000002</v>
      </c>
      <c r="E117" s="1">
        <v>1.0115670398000001</v>
      </c>
    </row>
    <row r="118" spans="1:5" x14ac:dyDescent="0.3">
      <c r="A118" s="1">
        <v>117</v>
      </c>
      <c r="B118" s="1">
        <v>-0.54024393059999998</v>
      </c>
      <c r="C118" s="1">
        <v>-0.7848897239</v>
      </c>
      <c r="D118" s="1">
        <v>-0.34026820520000001</v>
      </c>
      <c r="E118" s="1">
        <v>1.0117795385999999</v>
      </c>
    </row>
    <row r="119" spans="1:5" x14ac:dyDescent="0.3">
      <c r="A119" s="1">
        <v>118</v>
      </c>
      <c r="B119" s="1">
        <v>-0.52590209750000005</v>
      </c>
      <c r="C119" s="1">
        <v>-0.79327164380000004</v>
      </c>
      <c r="D119" s="1">
        <v>-0.34390140879999997</v>
      </c>
      <c r="E119" s="1">
        <v>1.0119886837000001</v>
      </c>
    </row>
    <row r="120" spans="1:5" x14ac:dyDescent="0.3">
      <c r="A120" s="1">
        <v>119</v>
      </c>
      <c r="B120" s="1">
        <v>-0.51141006529999999</v>
      </c>
      <c r="C120" s="1">
        <v>-0.80142700069999995</v>
      </c>
      <c r="D120" s="1">
        <v>-0.34743639209999999</v>
      </c>
      <c r="E120" s="1">
        <v>1.0121944176</v>
      </c>
    </row>
    <row r="121" spans="1:5" x14ac:dyDescent="0.3">
      <c r="A121" s="1">
        <v>120</v>
      </c>
      <c r="B121" s="1">
        <v>-0.49677206229999998</v>
      </c>
      <c r="C121" s="1">
        <v>-0.80935360489999997</v>
      </c>
      <c r="D121" s="1">
        <v>-0.35087220609999997</v>
      </c>
      <c r="E121" s="1">
        <v>1.0123966835</v>
      </c>
    </row>
    <row r="122" spans="1:5" x14ac:dyDescent="0.3">
      <c r="A122" s="1">
        <v>121</v>
      </c>
      <c r="B122" s="1">
        <v>-0.48199235169999999</v>
      </c>
      <c r="C122" s="1">
        <v>-0.81704933229999999</v>
      </c>
      <c r="D122" s="1">
        <v>-0.35420793</v>
      </c>
      <c r="E122" s="1">
        <v>1.0125954257000001</v>
      </c>
    </row>
    <row r="123" spans="1:5" x14ac:dyDescent="0.3">
      <c r="A123" s="1">
        <v>122</v>
      </c>
      <c r="B123" s="1">
        <v>-0.46707523029999998</v>
      </c>
      <c r="C123" s="1">
        <v>-0.82451212500000004</v>
      </c>
      <c r="D123" s="1">
        <v>-0.3574426718</v>
      </c>
      <c r="E123" s="1">
        <v>1.0127905897</v>
      </c>
    </row>
    <row r="124" spans="1:5" x14ac:dyDescent="0.3">
      <c r="A124" s="1">
        <v>123</v>
      </c>
      <c r="B124" s="1">
        <v>-0.4520250281</v>
      </c>
      <c r="C124" s="1">
        <v>-0.83173999119999997</v>
      </c>
      <c r="D124" s="1">
        <v>-0.36057556819999997</v>
      </c>
      <c r="E124" s="1">
        <v>1.0129821218999999</v>
      </c>
    </row>
    <row r="125" spans="1:5" x14ac:dyDescent="0.3">
      <c r="A125" s="1">
        <v>124</v>
      </c>
      <c r="B125" s="1">
        <v>-0.43684610629999998</v>
      </c>
      <c r="C125" s="1">
        <v>-0.83873100590000005</v>
      </c>
      <c r="D125" s="1">
        <v>-0.36360578490000001</v>
      </c>
      <c r="E125" s="1">
        <v>1.0131699698000001</v>
      </c>
    </row>
    <row r="126" spans="1:5" x14ac:dyDescent="0.3">
      <c r="A126" s="1">
        <v>125</v>
      </c>
      <c r="B126" s="1">
        <v>-0.42154285650000001</v>
      </c>
      <c r="C126" s="1">
        <v>-0.84548331129999998</v>
      </c>
      <c r="D126" s="1">
        <v>-0.36653251660000002</v>
      </c>
      <c r="E126" s="1">
        <v>1.0133540819</v>
      </c>
    </row>
    <row r="127" spans="1:5" x14ac:dyDescent="0.3">
      <c r="A127" s="1">
        <v>126</v>
      </c>
      <c r="B127" s="1">
        <v>-0.40611969959999999</v>
      </c>
      <c r="C127" s="1">
        <v>-0.85199511670000005</v>
      </c>
      <c r="D127" s="1">
        <v>-0.36935498709999998</v>
      </c>
      <c r="E127" s="1">
        <v>1.0135344077999999</v>
      </c>
    </row>
    <row r="128" spans="1:5" x14ac:dyDescent="0.3">
      <c r="A128" s="1">
        <v>127</v>
      </c>
      <c r="B128" s="1">
        <v>-0.39058108460000002</v>
      </c>
      <c r="C128" s="1">
        <v>-0.85826469920000004</v>
      </c>
      <c r="D128" s="1">
        <v>-0.37207244979999998</v>
      </c>
      <c r="E128" s="1">
        <v>1.0137108983000001</v>
      </c>
    </row>
    <row r="129" spans="1:5" x14ac:dyDescent="0.3">
      <c r="A129" s="1">
        <v>128</v>
      </c>
      <c r="B129" s="1">
        <v>-0.3749314869</v>
      </c>
      <c r="C129" s="1">
        <v>-0.8642904039</v>
      </c>
      <c r="D129" s="1">
        <v>-0.37468418720000002</v>
      </c>
      <c r="E129" s="1">
        <v>1.0138835051999999</v>
      </c>
    </row>
    <row r="130" spans="1:5" x14ac:dyDescent="0.3">
      <c r="A130" s="1">
        <v>129</v>
      </c>
      <c r="B130" s="1">
        <v>-0.35917540790000002</v>
      </c>
      <c r="C130" s="1">
        <v>-0.8700706439</v>
      </c>
      <c r="D130" s="1">
        <v>-0.37718951160000003</v>
      </c>
      <c r="E130" s="1">
        <v>1.0140521815000001</v>
      </c>
    </row>
    <row r="131" spans="1:5" x14ac:dyDescent="0.3">
      <c r="A131" s="1">
        <v>130</v>
      </c>
      <c r="B131" s="1">
        <v>-0.34331737350000002</v>
      </c>
      <c r="C131" s="1">
        <v>-0.87560390109999997</v>
      </c>
      <c r="D131" s="1">
        <v>-0.37958776500000002</v>
      </c>
      <c r="E131" s="1">
        <v>1.0142168811000001</v>
      </c>
    </row>
    <row r="132" spans="1:5" x14ac:dyDescent="0.3">
      <c r="A132" s="1">
        <v>131</v>
      </c>
      <c r="B132" s="1">
        <v>-0.32736193260000002</v>
      </c>
      <c r="C132" s="1">
        <v>-0.88088872579999999</v>
      </c>
      <c r="D132" s="1">
        <v>-0.38187831909999997</v>
      </c>
      <c r="E132" s="1">
        <v>1.0143775591999999</v>
      </c>
    </row>
    <row r="133" spans="1:5" x14ac:dyDescent="0.3">
      <c r="A133" s="1">
        <v>132</v>
      </c>
      <c r="B133" s="1">
        <v>-0.31131365640000003</v>
      </c>
      <c r="C133" s="1">
        <v>-0.88592373739999997</v>
      </c>
      <c r="D133" s="1">
        <v>-0.3840605755</v>
      </c>
      <c r="E133" s="1">
        <v>1.0145341723000001</v>
      </c>
    </row>
    <row r="134" spans="1:5" x14ac:dyDescent="0.3">
      <c r="A134" s="1">
        <v>133</v>
      </c>
      <c r="B134" s="1">
        <v>-0.29517713699999998</v>
      </c>
      <c r="C134" s="1">
        <v>-0.89070762429999994</v>
      </c>
      <c r="D134" s="1">
        <v>-0.38613396579999998</v>
      </c>
      <c r="E134" s="1">
        <v>1.0146866776000001</v>
      </c>
    </row>
    <row r="135" spans="1:5" x14ac:dyDescent="0.3">
      <c r="A135" s="1">
        <v>134</v>
      </c>
      <c r="B135" s="1">
        <v>-0.27895698619999998</v>
      </c>
      <c r="C135" s="1">
        <v>-0.89523914449999997</v>
      </c>
      <c r="D135" s="1">
        <v>-0.38809795159999999</v>
      </c>
      <c r="E135" s="1">
        <v>1.0148350339000001</v>
      </c>
    </row>
    <row r="136" spans="1:5" x14ac:dyDescent="0.3">
      <c r="A136" s="1">
        <v>135</v>
      </c>
      <c r="B136" s="1">
        <v>-0.26265783440000001</v>
      </c>
      <c r="C136" s="1">
        <v>-0.89951712530000005</v>
      </c>
      <c r="D136" s="1">
        <v>-0.38995202480000002</v>
      </c>
      <c r="E136" s="1">
        <v>1.0149792009</v>
      </c>
    </row>
    <row r="137" spans="1:5" x14ac:dyDescent="0.3">
      <c r="A137" s="1">
        <v>136</v>
      </c>
      <c r="B137" s="1">
        <v>-0.2462843294</v>
      </c>
      <c r="C137" s="1">
        <v>-0.90354046369999996</v>
      </c>
      <c r="D137" s="1">
        <v>-0.39169570729999997</v>
      </c>
      <c r="E137" s="1">
        <v>1.0151191396000001</v>
      </c>
    </row>
    <row r="138" spans="1:5" x14ac:dyDescent="0.3">
      <c r="A138" s="1">
        <v>137</v>
      </c>
      <c r="B138" s="1">
        <v>-0.22984113519999999</v>
      </c>
      <c r="C138" s="1">
        <v>-0.90730812660000004</v>
      </c>
      <c r="D138" s="1">
        <v>-0.3933285514</v>
      </c>
      <c r="E138" s="1">
        <v>1.015254812</v>
      </c>
    </row>
    <row r="139" spans="1:5" x14ac:dyDescent="0.3">
      <c r="A139" s="1">
        <v>138</v>
      </c>
      <c r="B139" s="1">
        <v>-0.21333293079999999</v>
      </c>
      <c r="C139" s="1">
        <v>-0.91081915079999998</v>
      </c>
      <c r="D139" s="1">
        <v>-0.39485013959999998</v>
      </c>
      <c r="E139" s="1">
        <v>1.0153861815</v>
      </c>
    </row>
    <row r="140" spans="1:5" x14ac:dyDescent="0.3">
      <c r="A140" s="1">
        <v>139</v>
      </c>
      <c r="B140" s="1">
        <v>-0.19676440919999999</v>
      </c>
      <c r="C140" s="1">
        <v>-0.91407264340000005</v>
      </c>
      <c r="D140" s="1">
        <v>-0.39626008499999998</v>
      </c>
      <c r="E140" s="1">
        <v>1.0155132126999999</v>
      </c>
    </row>
    <row r="141" spans="1:5" x14ac:dyDescent="0.3">
      <c r="A141" s="1">
        <v>140</v>
      </c>
      <c r="B141" s="1">
        <v>-0.18014027599999999</v>
      </c>
      <c r="C141" s="1">
        <v>-0.9170677813</v>
      </c>
      <c r="D141" s="1">
        <v>-0.39755803099999998</v>
      </c>
      <c r="E141" s="1">
        <v>1.0156358711</v>
      </c>
    </row>
    <row r="142" spans="1:5" x14ac:dyDescent="0.3">
      <c r="A142" s="1">
        <v>141</v>
      </c>
      <c r="B142" s="1">
        <v>-0.1634652483</v>
      </c>
      <c r="C142" s="1">
        <v>-0.91980381209999995</v>
      </c>
      <c r="D142" s="1">
        <v>-0.39874365150000002</v>
      </c>
      <c r="E142" s="1">
        <v>1.0157541237000001</v>
      </c>
    </row>
    <row r="143" spans="1:5" x14ac:dyDescent="0.3">
      <c r="A143" s="1">
        <v>142</v>
      </c>
      <c r="B143" s="1">
        <v>-0.14674405360000001</v>
      </c>
      <c r="C143" s="1">
        <v>-0.92228005349999997</v>
      </c>
      <c r="D143" s="1">
        <v>-0.39981665080000001</v>
      </c>
      <c r="E143" s="1">
        <v>1.0158679386</v>
      </c>
    </row>
    <row r="144" spans="1:5" x14ac:dyDescent="0.3">
      <c r="A144" s="1">
        <v>143</v>
      </c>
      <c r="B144" s="1">
        <v>-0.12998142870000001</v>
      </c>
      <c r="C144" s="1">
        <v>-0.92449589379999997</v>
      </c>
      <c r="D144" s="1">
        <v>-0.4007767639</v>
      </c>
      <c r="E144" s="1">
        <v>1.0159772851</v>
      </c>
    </row>
    <row r="145" spans="1:5" x14ac:dyDescent="0.3">
      <c r="A145" s="1">
        <v>144</v>
      </c>
      <c r="B145" s="1">
        <v>-0.11318211810000001</v>
      </c>
      <c r="C145" s="1">
        <v>-0.92645079159999999</v>
      </c>
      <c r="D145" s="1">
        <v>-0.40162375620000001</v>
      </c>
      <c r="E145" s="1">
        <v>1.0160821337999999</v>
      </c>
    </row>
    <row r="146" spans="1:5" x14ac:dyDescent="0.3">
      <c r="A146" s="1">
        <v>145</v>
      </c>
      <c r="B146" s="1">
        <v>-9.6350873599999998E-2</v>
      </c>
      <c r="C146" s="1">
        <v>-0.92814427629999996</v>
      </c>
      <c r="D146" s="1">
        <v>-0.4023574238</v>
      </c>
      <c r="E146" s="1">
        <v>1.0161824564999999</v>
      </c>
    </row>
    <row r="147" spans="1:5" x14ac:dyDescent="0.3">
      <c r="A147" s="1">
        <v>146</v>
      </c>
      <c r="B147" s="1">
        <v>-7.9492452300000002E-2</v>
      </c>
      <c r="C147" s="1">
        <v>-0.92957594750000005</v>
      </c>
      <c r="D147" s="1">
        <v>-0.40297759350000001</v>
      </c>
      <c r="E147" s="1">
        <v>1.0162782262000001</v>
      </c>
    </row>
    <row r="148" spans="1:5" x14ac:dyDescent="0.3">
      <c r="A148" s="1">
        <v>147</v>
      </c>
      <c r="B148" s="1">
        <v>-6.2611616199999998E-2</v>
      </c>
      <c r="C148" s="1">
        <v>-0.9307454758</v>
      </c>
      <c r="D148" s="1">
        <v>-0.40348412230000003</v>
      </c>
      <c r="E148" s="1">
        <v>1.0163694170999999</v>
      </c>
    </row>
    <row r="149" spans="1:5" x14ac:dyDescent="0.3">
      <c r="A149" s="1">
        <v>148</v>
      </c>
      <c r="B149" s="1">
        <v>-4.5713130499999997E-2</v>
      </c>
      <c r="C149" s="1">
        <v>-0.93165260189999999</v>
      </c>
      <c r="D149" s="1">
        <v>-0.40387689809999999</v>
      </c>
      <c r="E149" s="1">
        <v>1.0164560048</v>
      </c>
    </row>
    <row r="150" spans="1:5" x14ac:dyDescent="0.3">
      <c r="A150" s="1">
        <v>149</v>
      </c>
      <c r="B150" s="1">
        <v>-2.8801762500000001E-2</v>
      </c>
      <c r="C150" s="1">
        <v>-0.93229713739999998</v>
      </c>
      <c r="D150" s="1">
        <v>-0.40415583929999999</v>
      </c>
      <c r="E150" s="1">
        <v>1.016537966</v>
      </c>
    </row>
    <row r="151" spans="1:5" x14ac:dyDescent="0.3">
      <c r="A151" s="1">
        <v>150</v>
      </c>
      <c r="B151" s="1">
        <v>-1.18822809E-2</v>
      </c>
      <c r="C151" s="1">
        <v>-0.93267896419999996</v>
      </c>
      <c r="D151" s="1">
        <v>-0.40432089490000001</v>
      </c>
      <c r="E151" s="1">
        <v>1.0166152787</v>
      </c>
    </row>
    <row r="152" spans="1:5" x14ac:dyDescent="0.3">
      <c r="A152" s="1">
        <v>151</v>
      </c>
      <c r="B152" s="1">
        <v>5.0405459000000003E-3</v>
      </c>
      <c r="C152" s="1">
        <v>-0.93279803480000001</v>
      </c>
      <c r="D152" s="1">
        <v>-0.40437204430000001</v>
      </c>
      <c r="E152" s="1">
        <v>1.0166879222</v>
      </c>
    </row>
    <row r="153" spans="1:5" x14ac:dyDescent="0.3">
      <c r="A153" s="1">
        <v>152</v>
      </c>
      <c r="B153" s="1">
        <v>2.1961950599999999E-2</v>
      </c>
      <c r="C153" s="1">
        <v>-0.93265437210000002</v>
      </c>
      <c r="D153" s="1">
        <v>-0.40430929780000002</v>
      </c>
      <c r="E153" s="1">
        <v>1.016755877</v>
      </c>
    </row>
    <row r="154" spans="1:5" x14ac:dyDescent="0.3">
      <c r="A154" s="1">
        <v>153</v>
      </c>
      <c r="B154" s="1">
        <v>3.8877168400000002E-2</v>
      </c>
      <c r="C154" s="1">
        <v>-0.93224806920000003</v>
      </c>
      <c r="D154" s="1">
        <v>-0.40413269569999999</v>
      </c>
      <c r="E154" s="1">
        <v>1.0168191248</v>
      </c>
    </row>
    <row r="155" spans="1:5" x14ac:dyDescent="0.3">
      <c r="A155" s="1">
        <v>154</v>
      </c>
      <c r="B155" s="1">
        <v>5.5781437900000001E-2</v>
      </c>
      <c r="C155" s="1">
        <v>-0.93157928980000004</v>
      </c>
      <c r="D155" s="1">
        <v>-0.40384230910000002</v>
      </c>
      <c r="E155" s="1">
        <v>1.0168776488</v>
      </c>
    </row>
    <row r="156" spans="1:5" x14ac:dyDescent="0.3">
      <c r="A156" s="1">
        <v>155</v>
      </c>
      <c r="B156" s="1">
        <v>7.2670002299999994E-2</v>
      </c>
      <c r="C156" s="1">
        <v>-0.93064826730000005</v>
      </c>
      <c r="D156" s="1">
        <v>-0.40343823940000001</v>
      </c>
      <c r="E156" s="1">
        <v>1.0169314331999999</v>
      </c>
    </row>
    <row r="157" spans="1:5" x14ac:dyDescent="0.3">
      <c r="A157" s="1">
        <v>156</v>
      </c>
      <c r="B157" s="1">
        <v>8.9538110700000006E-2</v>
      </c>
      <c r="C157" s="1">
        <v>-0.92945530570000001</v>
      </c>
      <c r="D157" s="1">
        <v>-0.40292061849999999</v>
      </c>
      <c r="E157" s="1">
        <v>1.0169804635999999</v>
      </c>
    </row>
    <row r="158" spans="1:5" x14ac:dyDescent="0.3">
      <c r="A158" s="1">
        <v>157</v>
      </c>
      <c r="B158" s="1">
        <v>0.10638101899999999</v>
      </c>
      <c r="C158" s="1">
        <v>-0.92800077859999996</v>
      </c>
      <c r="D158" s="1">
        <v>-0.4022896084</v>
      </c>
      <c r="E158" s="1">
        <v>1.0170247269999999</v>
      </c>
    </row>
    <row r="159" spans="1:5" x14ac:dyDescent="0.3">
      <c r="A159" s="1">
        <v>158</v>
      </c>
      <c r="B159" s="1">
        <v>0.1231939913</v>
      </c>
      <c r="C159" s="1">
        <v>-0.92628512949999997</v>
      </c>
      <c r="D159" s="1">
        <v>-0.40154540160000002</v>
      </c>
      <c r="E159" s="1">
        <v>1.0170642114999999</v>
      </c>
    </row>
    <row r="160" spans="1:5" x14ac:dyDescent="0.3">
      <c r="A160" s="1">
        <v>159</v>
      </c>
      <c r="B160" s="1">
        <v>0.1399723007</v>
      </c>
      <c r="C160" s="1">
        <v>-0.92430887169999998</v>
      </c>
      <c r="D160" s="1">
        <v>-0.40068822069999999</v>
      </c>
      <c r="E160" s="1">
        <v>1.0170989064</v>
      </c>
    </row>
    <row r="161" spans="1:5" x14ac:dyDescent="0.3">
      <c r="A161" s="1">
        <v>160</v>
      </c>
      <c r="B161" s="1">
        <v>0.1567112306</v>
      </c>
      <c r="C161" s="1">
        <v>-0.92207258780000001</v>
      </c>
      <c r="D161" s="1">
        <v>-0.39971831839999999</v>
      </c>
      <c r="E161" s="1">
        <v>1.0171288026</v>
      </c>
    </row>
    <row r="162" spans="1:5" x14ac:dyDescent="0.3">
      <c r="A162" s="1">
        <v>161</v>
      </c>
      <c r="B162" s="1">
        <v>0.17340607599999999</v>
      </c>
      <c r="C162" s="1">
        <v>-0.91957692999999996</v>
      </c>
      <c r="D162" s="1">
        <v>-0.39863597750000002</v>
      </c>
      <c r="E162" s="1">
        <v>1.0171538920000001</v>
      </c>
    </row>
    <row r="163" spans="1:5" x14ac:dyDescent="0.3">
      <c r="A163" s="1">
        <v>162</v>
      </c>
      <c r="B163" s="1">
        <v>0.19005214440000001</v>
      </c>
      <c r="C163" s="1">
        <v>-0.91682261949999999</v>
      </c>
      <c r="D163" s="1">
        <v>-0.39744151090000002</v>
      </c>
      <c r="E163" s="1">
        <v>1.0171741678999999</v>
      </c>
    </row>
    <row r="164" spans="1:5" x14ac:dyDescent="0.3">
      <c r="A164" s="1">
        <v>163</v>
      </c>
      <c r="B164" s="1">
        <v>0.20664475669999999</v>
      </c>
      <c r="C164" s="1">
        <v>-0.91381044659999999</v>
      </c>
      <c r="D164" s="1">
        <v>-0.39613526119999998</v>
      </c>
      <c r="E164" s="1">
        <v>1.0171896249000001</v>
      </c>
    </row>
    <row r="165" spans="1:5" x14ac:dyDescent="0.3">
      <c r="A165" s="1">
        <v>164</v>
      </c>
      <c r="B165" s="1">
        <v>0.22317924889999999</v>
      </c>
      <c r="C165" s="1">
        <v>-0.91054127029999998</v>
      </c>
      <c r="D165" s="1">
        <v>-0.39471760099999997</v>
      </c>
      <c r="E165" s="1">
        <v>1.0172002588</v>
      </c>
    </row>
    <row r="166" spans="1:5" x14ac:dyDescent="0.3">
      <c r="A166" s="1">
        <v>165</v>
      </c>
      <c r="B166" s="1">
        <v>0.2396509728</v>
      </c>
      <c r="C166" s="1">
        <v>-0.90701601809999999</v>
      </c>
      <c r="D166" s="1">
        <v>-0.39318893249999998</v>
      </c>
      <c r="E166" s="1">
        <v>1.0172060669</v>
      </c>
    </row>
    <row r="167" spans="1:5" x14ac:dyDescent="0.3">
      <c r="A167" s="1">
        <v>166</v>
      </c>
      <c r="B167" s="1">
        <v>0.25605529700000002</v>
      </c>
      <c r="C167" s="1">
        <v>-0.90323568600000004</v>
      </c>
      <c r="D167" s="1">
        <v>-0.39154968750000002</v>
      </c>
      <c r="E167" s="1">
        <v>1.0172070473999999</v>
      </c>
    </row>
    <row r="168" spans="1:5" x14ac:dyDescent="0.3">
      <c r="A168" s="1">
        <v>167</v>
      </c>
      <c r="B168" s="1">
        <v>0.27238760839999998</v>
      </c>
      <c r="C168" s="1">
        <v>-0.89920133790000001</v>
      </c>
      <c r="D168" s="1">
        <v>-0.38980032749999999</v>
      </c>
      <c r="E168" s="1">
        <v>1.0172032003</v>
      </c>
    </row>
    <row r="169" spans="1:5" x14ac:dyDescent="0.3">
      <c r="A169" s="1">
        <v>168</v>
      </c>
      <c r="B169" s="1">
        <v>0.28864331300000001</v>
      </c>
      <c r="C169" s="1">
        <v>-0.89491410569999996</v>
      </c>
      <c r="D169" s="1">
        <v>-0.38794134320000001</v>
      </c>
      <c r="E169" s="1">
        <v>1.0171945264</v>
      </c>
    </row>
    <row r="170" spans="1:5" x14ac:dyDescent="0.3">
      <c r="A170" s="1">
        <v>169</v>
      </c>
      <c r="B170" s="1">
        <v>0.3048178372</v>
      </c>
      <c r="C170" s="1">
        <v>-0.89037518879999999</v>
      </c>
      <c r="D170" s="1">
        <v>-0.38597325459999998</v>
      </c>
      <c r="E170" s="1">
        <v>1.0171810281</v>
      </c>
    </row>
    <row r="171" spans="1:5" x14ac:dyDescent="0.3">
      <c r="A171" s="1">
        <v>170</v>
      </c>
      <c r="B171" s="1">
        <v>0.32090662860000002</v>
      </c>
      <c r="C171" s="1">
        <v>-0.88558585369999998</v>
      </c>
      <c r="D171" s="1">
        <v>-0.383896611</v>
      </c>
      <c r="E171" s="1">
        <v>1.0171627089999999</v>
      </c>
    </row>
    <row r="172" spans="1:5" x14ac:dyDescent="0.3">
      <c r="A172" s="1">
        <v>171</v>
      </c>
      <c r="B172" s="1">
        <v>0.33690515729999998</v>
      </c>
      <c r="C172" s="1">
        <v>-0.88054743420000003</v>
      </c>
      <c r="D172" s="1">
        <v>-0.3817119907</v>
      </c>
      <c r="E172" s="1">
        <v>1.0171395739</v>
      </c>
    </row>
    <row r="173" spans="1:5" x14ac:dyDescent="0.3">
      <c r="A173" s="1">
        <v>172</v>
      </c>
      <c r="B173" s="1">
        <v>0.35280891720000002</v>
      </c>
      <c r="C173" s="1">
        <v>-0.87526133070000001</v>
      </c>
      <c r="D173" s="1">
        <v>-0.37942000079999999</v>
      </c>
      <c r="E173" s="1">
        <v>1.0171116291</v>
      </c>
    </row>
    <row r="174" spans="1:5" x14ac:dyDescent="0.3">
      <c r="A174" s="1">
        <v>173</v>
      </c>
      <c r="B174" s="1">
        <v>0.36861342650000001</v>
      </c>
      <c r="C174" s="1">
        <v>-0.86972900980000001</v>
      </c>
      <c r="D174" s="1">
        <v>-0.37702127730000001</v>
      </c>
      <c r="E174" s="1">
        <v>1.0170788820000001</v>
      </c>
    </row>
    <row r="175" spans="1:5" x14ac:dyDescent="0.3">
      <c r="A175" s="1">
        <v>174</v>
      </c>
      <c r="B175" s="1">
        <v>0.38431422939999998</v>
      </c>
      <c r="C175" s="1">
        <v>-0.86395200429999996</v>
      </c>
      <c r="D175" s="1">
        <v>-0.37451648479999999</v>
      </c>
      <c r="E175" s="1">
        <v>1.0170413412999999</v>
      </c>
    </row>
    <row r="176" spans="1:5" x14ac:dyDescent="0.3">
      <c r="A176" s="1">
        <v>175</v>
      </c>
      <c r="B176" s="1">
        <v>0.39990689670000001</v>
      </c>
      <c r="C176" s="1">
        <v>-0.85793191260000001</v>
      </c>
      <c r="D176" s="1">
        <v>-0.37190631639999999</v>
      </c>
      <c r="E176" s="1">
        <v>1.0169990172000001</v>
      </c>
    </row>
    <row r="177" spans="1:5" x14ac:dyDescent="0.3">
      <c r="A177" s="1">
        <v>176</v>
      </c>
      <c r="B177" s="1">
        <v>0.41538702719999998</v>
      </c>
      <c r="C177" s="1">
        <v>-0.85167039870000005</v>
      </c>
      <c r="D177" s="1">
        <v>-0.36919149340000001</v>
      </c>
      <c r="E177" s="1">
        <v>1.0169519208</v>
      </c>
    </row>
    <row r="178" spans="1:5" x14ac:dyDescent="0.3">
      <c r="A178" s="1">
        <v>177</v>
      </c>
      <c r="B178" s="1">
        <v>0.43075024849999999</v>
      </c>
      <c r="C178" s="1">
        <v>-0.8451691912</v>
      </c>
      <c r="D178" s="1">
        <v>-0.36637276549999997</v>
      </c>
      <c r="E178" s="1">
        <v>1.0169000647999999</v>
      </c>
    </row>
    <row r="179" spans="1:5" x14ac:dyDescent="0.3">
      <c r="A179" s="1">
        <v>178</v>
      </c>
      <c r="B179" s="1">
        <v>0.44599221839999997</v>
      </c>
      <c r="C179" s="1">
        <v>-0.83843008370000005</v>
      </c>
      <c r="D179" s="1">
        <v>-0.36345091010000002</v>
      </c>
      <c r="E179" s="1">
        <v>1.0168434630000001</v>
      </c>
    </row>
    <row r="180" spans="1:5" x14ac:dyDescent="0.3">
      <c r="A180" s="1">
        <v>179</v>
      </c>
      <c r="B180" s="1">
        <v>0.46110862549999998</v>
      </c>
      <c r="C180" s="1">
        <v>-0.83145493380000002</v>
      </c>
      <c r="D180" s="1">
        <v>-0.36042673269999997</v>
      </c>
      <c r="E180" s="1">
        <v>1.0167821306</v>
      </c>
    </row>
    <row r="181" spans="1:5" x14ac:dyDescent="0.3">
      <c r="A181" s="1">
        <v>180</v>
      </c>
      <c r="B181" s="1">
        <v>0.4760951906</v>
      </c>
      <c r="C181" s="1">
        <v>-0.82424566290000001</v>
      </c>
      <c r="D181" s="1">
        <v>-0.35730106649999999</v>
      </c>
      <c r="E181" s="1">
        <v>1.016716084</v>
      </c>
    </row>
    <row r="182" spans="1:5" x14ac:dyDescent="0.3">
      <c r="A182" s="1">
        <v>181</v>
      </c>
      <c r="B182" s="1">
        <v>0.49094766779999999</v>
      </c>
      <c r="C182" s="1">
        <v>-0.81680425590000005</v>
      </c>
      <c r="D182" s="1">
        <v>-0.35407477189999997</v>
      </c>
      <c r="E182" s="1">
        <v>1.0166453409</v>
      </c>
    </row>
    <row r="183" spans="1:5" x14ac:dyDescent="0.3">
      <c r="A183" s="1">
        <v>182</v>
      </c>
      <c r="B183" s="1">
        <v>0.50566184530000002</v>
      </c>
      <c r="C183" s="1">
        <v>-0.80913276069999995</v>
      </c>
      <c r="D183" s="1">
        <v>-0.35074873680000002</v>
      </c>
      <c r="E183" s="1">
        <v>1.0165699202</v>
      </c>
    </row>
    <row r="184" spans="1:5" x14ac:dyDescent="0.3">
      <c r="A184" s="1">
        <v>183</v>
      </c>
      <c r="B184" s="1">
        <v>0.52023354649999998</v>
      </c>
      <c r="C184" s="1">
        <v>-0.80123328770000002</v>
      </c>
      <c r="D184" s="1">
        <v>-0.34732387619999999</v>
      </c>
      <c r="E184" s="1">
        <v>1.0164898420999999</v>
      </c>
    </row>
    <row r="185" spans="1:5" x14ac:dyDescent="0.3">
      <c r="A185" s="1">
        <v>184</v>
      </c>
      <c r="B185" s="1">
        <v>0.5346586311</v>
      </c>
      <c r="C185" s="1">
        <v>-0.79310800930000003</v>
      </c>
      <c r="D185" s="1">
        <v>-0.34380113210000002</v>
      </c>
      <c r="E185" s="1">
        <v>1.0164051282</v>
      </c>
    </row>
    <row r="186" spans="1:5" x14ac:dyDescent="0.3">
      <c r="A186" s="1">
        <v>185</v>
      </c>
      <c r="B186" s="1">
        <v>0.54893299630000003</v>
      </c>
      <c r="C186" s="1">
        <v>-0.78475915959999998</v>
      </c>
      <c r="D186" s="1">
        <v>-0.3401814729</v>
      </c>
      <c r="E186" s="1">
        <v>1.0163158011</v>
      </c>
    </row>
    <row r="187" spans="1:5" x14ac:dyDescent="0.3">
      <c r="A187" s="1">
        <v>186</v>
      </c>
      <c r="B187" s="1">
        <v>0.56305257740000003</v>
      </c>
      <c r="C187" s="1">
        <v>-0.77618903400000006</v>
      </c>
      <c r="D187" s="1">
        <v>-0.33646589389999998</v>
      </c>
      <c r="E187" s="1">
        <v>1.0162218848</v>
      </c>
    </row>
    <row r="188" spans="1:5" x14ac:dyDescent="0.3">
      <c r="A188" s="1">
        <v>187</v>
      </c>
      <c r="B188" s="1">
        <v>0.57701334910000002</v>
      </c>
      <c r="C188" s="1">
        <v>-0.7673999883</v>
      </c>
      <c r="D188" s="1">
        <v>-0.33265541650000002</v>
      </c>
      <c r="E188" s="1">
        <v>1.0161234045</v>
      </c>
    </row>
    <row r="189" spans="1:5" x14ac:dyDescent="0.3">
      <c r="A189" s="1">
        <v>188</v>
      </c>
      <c r="B189" s="1">
        <v>0.59081132680000004</v>
      </c>
      <c r="C189" s="1">
        <v>-0.7583944386</v>
      </c>
      <c r="D189" s="1">
        <v>-0.32875108809999998</v>
      </c>
      <c r="E189" s="1">
        <v>1.0160203866999999</v>
      </c>
    </row>
    <row r="190" spans="1:5" x14ac:dyDescent="0.3">
      <c r="A190" s="1">
        <v>189</v>
      </c>
      <c r="B190" s="1">
        <v>0.60444256679999997</v>
      </c>
      <c r="C190" s="1">
        <v>-0.74917486069999994</v>
      </c>
      <c r="D190" s="1">
        <v>-0.3247539821</v>
      </c>
      <c r="E190" s="1">
        <v>1.0159128592</v>
      </c>
    </row>
    <row r="191" spans="1:5" x14ac:dyDescent="0.3">
      <c r="A191" s="1">
        <v>190</v>
      </c>
      <c r="B191" s="1">
        <v>0.61790316830000003</v>
      </c>
      <c r="C191" s="1">
        <v>-0.73974378939999996</v>
      </c>
      <c r="D191" s="1">
        <v>-0.3206651975</v>
      </c>
      <c r="E191" s="1">
        <v>1.0158008507</v>
      </c>
    </row>
    <row r="192" spans="1:5" x14ac:dyDescent="0.3">
      <c r="A192" s="1">
        <v>191</v>
      </c>
      <c r="B192" s="1">
        <v>0.63118927359999999</v>
      </c>
      <c r="C192" s="1">
        <v>-0.73010381820000003</v>
      </c>
      <c r="D192" s="1">
        <v>-0.3164858586</v>
      </c>
      <c r="E192" s="1">
        <v>1.0156843915</v>
      </c>
    </row>
    <row r="193" spans="1:5" x14ac:dyDescent="0.3">
      <c r="A193" s="1">
        <v>192</v>
      </c>
      <c r="B193" s="1">
        <v>0.64429706949999999</v>
      </c>
      <c r="C193" s="1">
        <v>-0.72025759850000004</v>
      </c>
      <c r="D193" s="1">
        <v>-0.31221711499999999</v>
      </c>
      <c r="E193" s="1">
        <v>1.015563513</v>
      </c>
    </row>
    <row r="194" spans="1:5" x14ac:dyDescent="0.3">
      <c r="A194" s="1">
        <v>193</v>
      </c>
      <c r="B194" s="1">
        <v>0.65722278830000003</v>
      </c>
      <c r="C194" s="1">
        <v>-0.71020783919999997</v>
      </c>
      <c r="D194" s="1">
        <v>-0.30786014119999999</v>
      </c>
      <c r="E194" s="1">
        <v>1.0154382476999999</v>
      </c>
    </row>
    <row r="195" spans="1:5" x14ac:dyDescent="0.3">
      <c r="A195" s="1">
        <v>194</v>
      </c>
      <c r="B195" s="1">
        <v>0.66996270840000005</v>
      </c>
      <c r="C195" s="1">
        <v>-0.69995730619999996</v>
      </c>
      <c r="D195" s="1">
        <v>-0.30341613610000001</v>
      </c>
      <c r="E195" s="1">
        <v>1.0153086294</v>
      </c>
    </row>
    <row r="196" spans="1:5" x14ac:dyDescent="0.3">
      <c r="A196" s="1">
        <v>195</v>
      </c>
      <c r="B196" s="1">
        <v>0.68251315609999996</v>
      </c>
      <c r="C196" s="1">
        <v>-0.68950882170000005</v>
      </c>
      <c r="D196" s="1">
        <v>-0.29888632339999999</v>
      </c>
      <c r="E196" s="1">
        <v>1.0151746932000001</v>
      </c>
    </row>
    <row r="197" spans="1:5" x14ac:dyDescent="0.3">
      <c r="A197" s="1">
        <v>196</v>
      </c>
      <c r="B197" s="1">
        <v>0.69487050539999995</v>
      </c>
      <c r="C197" s="1">
        <v>-0.67886526329999997</v>
      </c>
      <c r="D197" s="1">
        <v>-0.29427195070000001</v>
      </c>
      <c r="E197" s="1">
        <v>1.0150364752000001</v>
      </c>
    </row>
    <row r="198" spans="1:5" x14ac:dyDescent="0.3">
      <c r="A198" s="1">
        <v>197</v>
      </c>
      <c r="B198" s="1">
        <v>0.7070311802</v>
      </c>
      <c r="C198" s="1">
        <v>-0.66802956400000002</v>
      </c>
      <c r="D198" s="1">
        <v>-0.28957428940000002</v>
      </c>
      <c r="E198" s="1">
        <v>1.0148940127999999</v>
      </c>
    </row>
    <row r="199" spans="1:5" x14ac:dyDescent="0.3">
      <c r="A199" s="1">
        <v>198</v>
      </c>
      <c r="B199" s="1">
        <v>0.7189916543</v>
      </c>
      <c r="C199" s="1">
        <v>-0.65700471120000004</v>
      </c>
      <c r="D199" s="1">
        <v>-0.28479463469999999</v>
      </c>
      <c r="E199" s="1">
        <v>1.0147473445999999</v>
      </c>
    </row>
    <row r="200" spans="1:5" x14ac:dyDescent="0.3">
      <c r="A200" s="1">
        <v>199</v>
      </c>
      <c r="B200" s="1">
        <v>0.73074845290000001</v>
      </c>
      <c r="C200" s="1">
        <v>-0.64579374590000005</v>
      </c>
      <c r="D200" s="1">
        <v>-0.2799343051</v>
      </c>
      <c r="E200" s="1">
        <v>1.0145965104000001</v>
      </c>
    </row>
    <row r="201" spans="1:5" x14ac:dyDescent="0.3">
      <c r="A201" s="1">
        <v>200</v>
      </c>
      <c r="B201" s="1">
        <v>0.74229815330000004</v>
      </c>
      <c r="C201" s="1">
        <v>-0.63439976249999996</v>
      </c>
      <c r="D201" s="1">
        <v>-0.27499464210000002</v>
      </c>
      <c r="E201" s="1">
        <v>1.0144415509</v>
      </c>
    </row>
    <row r="202" spans="1:5" x14ac:dyDescent="0.3">
      <c r="A202" s="1">
        <v>201</v>
      </c>
      <c r="B202" s="1">
        <v>0.75363738609999997</v>
      </c>
      <c r="C202" s="1">
        <v>-0.62282590770000001</v>
      </c>
      <c r="D202" s="1">
        <v>-0.2699770098</v>
      </c>
      <c r="E202" s="1">
        <v>1.0142825084</v>
      </c>
    </row>
    <row r="203" spans="1:5" x14ac:dyDescent="0.3">
      <c r="A203" s="1">
        <v>202</v>
      </c>
      <c r="B203" s="1">
        <v>0.76476283560000002</v>
      </c>
      <c r="C203" s="1">
        <v>-0.61107538009999995</v>
      </c>
      <c r="D203" s="1">
        <v>-0.2648827949</v>
      </c>
      <c r="E203" s="1">
        <v>1.0141194258999999</v>
      </c>
    </row>
    <row r="204" spans="1:5" x14ac:dyDescent="0.3">
      <c r="A204" s="1">
        <v>203</v>
      </c>
      <c r="B204" s="1">
        <v>0.77567124160000001</v>
      </c>
      <c r="C204" s="1">
        <v>-0.59915142939999999</v>
      </c>
      <c r="D204" s="1">
        <v>-0.2597134063</v>
      </c>
      <c r="E204" s="1">
        <v>1.0139523479000001</v>
      </c>
    </row>
    <row r="205" spans="1:5" x14ac:dyDescent="0.3">
      <c r="A205" s="1">
        <v>204</v>
      </c>
      <c r="B205" s="1">
        <v>0.78635939929999998</v>
      </c>
      <c r="C205" s="1">
        <v>-0.58705735560000005</v>
      </c>
      <c r="D205" s="1">
        <v>-0.2544702747</v>
      </c>
      <c r="E205" s="1">
        <v>1.0137813197000001</v>
      </c>
    </row>
    <row r="206" spans="1:5" x14ac:dyDescent="0.3">
      <c r="A206" s="1">
        <v>205</v>
      </c>
      <c r="B206" s="1">
        <v>0.79682416109999998</v>
      </c>
      <c r="C206" s="1">
        <v>-0.57479650839999996</v>
      </c>
      <c r="D206" s="1">
        <v>-0.24915485230000001</v>
      </c>
      <c r="E206" s="1">
        <v>1.0136063881999999</v>
      </c>
    </row>
    <row r="207" spans="1:5" x14ac:dyDescent="0.3">
      <c r="A207" s="1">
        <v>206</v>
      </c>
      <c r="B207" s="1">
        <v>0.80706243690000001</v>
      </c>
      <c r="C207" s="1">
        <v>-0.56237228650000004</v>
      </c>
      <c r="D207" s="1">
        <v>-0.2437686124</v>
      </c>
      <c r="E207" s="1">
        <v>1.0134276008000001</v>
      </c>
    </row>
    <row r="208" spans="1:5" x14ac:dyDescent="0.3">
      <c r="A208" s="1">
        <v>207</v>
      </c>
      <c r="B208" s="1">
        <v>0.81707119539999995</v>
      </c>
      <c r="C208" s="1">
        <v>-0.54978813670000004</v>
      </c>
      <c r="D208" s="1">
        <v>-0.23831304950000001</v>
      </c>
      <c r="E208" s="1">
        <v>1.0132450065</v>
      </c>
    </row>
    <row r="209" spans="1:5" x14ac:dyDescent="0.3">
      <c r="A209" s="1">
        <v>208</v>
      </c>
      <c r="B209" s="1">
        <v>0.82684746480000004</v>
      </c>
      <c r="C209" s="1">
        <v>-0.53704755339999999</v>
      </c>
      <c r="D209" s="1">
        <v>-0.2327896783</v>
      </c>
      <c r="E209" s="1">
        <v>1.0130586552</v>
      </c>
    </row>
    <row r="210" spans="1:5" x14ac:dyDescent="0.3">
      <c r="A210" s="1">
        <v>209</v>
      </c>
      <c r="B210" s="1">
        <v>0.83638833359999998</v>
      </c>
      <c r="C210" s="1">
        <v>-0.52415407729999997</v>
      </c>
      <c r="D210" s="1">
        <v>-0.22720003389999999</v>
      </c>
      <c r="E210" s="1">
        <v>1.0128685979000001</v>
      </c>
    </row>
    <row r="211" spans="1:5" x14ac:dyDescent="0.3">
      <c r="A211" s="1">
        <v>210</v>
      </c>
      <c r="B211" s="1">
        <v>0.84569095159999996</v>
      </c>
      <c r="C211" s="1">
        <v>-0.51111129519999998</v>
      </c>
      <c r="D211" s="1">
        <v>-0.2215456713</v>
      </c>
      <c r="E211" s="1">
        <v>1.0126748866999999</v>
      </c>
    </row>
    <row r="212" spans="1:5" x14ac:dyDescent="0.3">
      <c r="A212" s="1">
        <v>211</v>
      </c>
      <c r="B212" s="1">
        <v>0.85475253070000001</v>
      </c>
      <c r="C212" s="1">
        <v>-0.4979228389</v>
      </c>
      <c r="D212" s="1">
        <v>-0.21582816490000001</v>
      </c>
      <c r="E212" s="1">
        <v>1.0124775746000001</v>
      </c>
    </row>
    <row r="213" spans="1:5" x14ac:dyDescent="0.3">
      <c r="A213" s="1">
        <v>212</v>
      </c>
      <c r="B213" s="1">
        <v>0.86357034600000004</v>
      </c>
      <c r="C213" s="1">
        <v>-0.48459238449999997</v>
      </c>
      <c r="D213" s="1">
        <v>-0.2100491085</v>
      </c>
      <c r="E213" s="1">
        <v>1.0122767158999999</v>
      </c>
    </row>
    <row r="214" spans="1:5" x14ac:dyDescent="0.3">
      <c r="A214" s="1">
        <v>213</v>
      </c>
      <c r="B214" s="1">
        <v>0.87214173620000002</v>
      </c>
      <c r="C214" s="1">
        <v>-0.4711236513</v>
      </c>
      <c r="D214" s="1">
        <v>-0.2042101143</v>
      </c>
      <c r="E214" s="1">
        <v>1.0120723657999999</v>
      </c>
    </row>
    <row r="215" spans="1:5" x14ac:dyDescent="0.3">
      <c r="A215" s="1">
        <v>214</v>
      </c>
      <c r="B215" s="1">
        <v>0.88046410470000003</v>
      </c>
      <c r="C215" s="1">
        <v>-0.4575204014</v>
      </c>
      <c r="D215" s="1">
        <v>-0.19831281349999999</v>
      </c>
      <c r="E215" s="1">
        <v>1.0118645804999999</v>
      </c>
    </row>
    <row r="216" spans="1:5" x14ac:dyDescent="0.3">
      <c r="A216" s="1">
        <v>215</v>
      </c>
      <c r="B216" s="1">
        <v>0.88853492060000006</v>
      </c>
      <c r="C216" s="1">
        <v>-0.44378643829999997</v>
      </c>
      <c r="D216" s="1">
        <v>-0.19235885480000001</v>
      </c>
      <c r="E216" s="1">
        <v>1.0116534174</v>
      </c>
    </row>
    <row r="217" spans="1:5" x14ac:dyDescent="0.3">
      <c r="A217" s="1">
        <v>216</v>
      </c>
      <c r="B217" s="1">
        <v>0.89635171920000001</v>
      </c>
      <c r="C217" s="1">
        <v>-0.4299256065</v>
      </c>
      <c r="D217" s="1">
        <v>-0.18634990509999999</v>
      </c>
      <c r="E217" s="1">
        <v>1.0114389346999999</v>
      </c>
    </row>
    <row r="218" spans="1:5" x14ac:dyDescent="0.3">
      <c r="A218" s="1">
        <v>217</v>
      </c>
      <c r="B218" s="1">
        <v>0.9039121027</v>
      </c>
      <c r="C218" s="1">
        <v>-0.41594179040000001</v>
      </c>
      <c r="D218" s="1">
        <v>-0.1802876481</v>
      </c>
      <c r="E218" s="1">
        <v>1.0112211917</v>
      </c>
    </row>
    <row r="219" spans="1:5" x14ac:dyDescent="0.3">
      <c r="A219" s="1">
        <v>218</v>
      </c>
      <c r="B219" s="1">
        <v>0.91121374160000002</v>
      </c>
      <c r="C219" s="1">
        <v>-0.40183891350000001</v>
      </c>
      <c r="D219" s="1">
        <v>-0.174173785</v>
      </c>
      <c r="E219" s="1">
        <v>1.0110002486</v>
      </c>
    </row>
    <row r="220" spans="1:5" x14ac:dyDescent="0.3">
      <c r="A220" s="1">
        <v>219</v>
      </c>
      <c r="B220" s="1">
        <v>0.91825437480000005</v>
      </c>
      <c r="C220" s="1">
        <v>-0.38762093730000002</v>
      </c>
      <c r="D220" s="1">
        <v>-0.16801003289999999</v>
      </c>
      <c r="E220" s="1">
        <v>1.0107761665999999</v>
      </c>
    </row>
    <row r="221" spans="1:5" x14ac:dyDescent="0.3">
      <c r="A221" s="1">
        <v>220</v>
      </c>
      <c r="B221" s="1">
        <v>0.92503181079999997</v>
      </c>
      <c r="C221" s="1">
        <v>-0.37329186050000002</v>
      </c>
      <c r="D221" s="1">
        <v>-0.16179812560000001</v>
      </c>
      <c r="E221" s="1">
        <v>1.0105490079999999</v>
      </c>
    </row>
    <row r="222" spans="1:5" x14ac:dyDescent="0.3">
      <c r="A222" s="1">
        <v>221</v>
      </c>
      <c r="B222" s="1">
        <v>0.93154392829999999</v>
      </c>
      <c r="C222" s="1">
        <v>-0.35885571799999999</v>
      </c>
      <c r="D222" s="1">
        <v>-0.15553981210000001</v>
      </c>
      <c r="E222" s="1">
        <v>1.0103188356999999</v>
      </c>
    </row>
    <row r="223" spans="1:5" x14ac:dyDescent="0.3">
      <c r="A223" s="1">
        <v>222</v>
      </c>
      <c r="B223" s="1">
        <v>0.93778867690000001</v>
      </c>
      <c r="C223" s="1">
        <v>-0.34431658009999999</v>
      </c>
      <c r="D223" s="1">
        <v>-0.149236857</v>
      </c>
      <c r="E223" s="1">
        <v>1.0100857138999999</v>
      </c>
    </row>
    <row r="224" spans="1:5" x14ac:dyDescent="0.3">
      <c r="A224" s="1">
        <v>223</v>
      </c>
      <c r="B224" s="1">
        <v>0.94376407809999996</v>
      </c>
      <c r="C224" s="1">
        <v>-0.32967855130000001</v>
      </c>
      <c r="D224" s="1">
        <v>-0.14289103980000001</v>
      </c>
      <c r="E224" s="1">
        <v>1.0098497073999999</v>
      </c>
    </row>
    <row r="225" spans="1:5" x14ac:dyDescent="0.3">
      <c r="A225" s="1">
        <v>224</v>
      </c>
      <c r="B225" s="1">
        <v>0.9494682257</v>
      </c>
      <c r="C225" s="1">
        <v>-0.31494576949999997</v>
      </c>
      <c r="D225" s="1">
        <v>-0.13650415420000001</v>
      </c>
      <c r="E225" s="1">
        <v>1.0096108822000001</v>
      </c>
    </row>
    <row r="226" spans="1:5" x14ac:dyDescent="0.3">
      <c r="A226" s="1">
        <v>225</v>
      </c>
      <c r="B226" s="1">
        <v>0.95489928670000002</v>
      </c>
      <c r="C226" s="1">
        <v>-0.30012240489999997</v>
      </c>
      <c r="D226" s="1">
        <v>-0.1300780081</v>
      </c>
      <c r="E226" s="1">
        <v>1.0093693050000001</v>
      </c>
    </row>
    <row r="227" spans="1:5" x14ac:dyDescent="0.3">
      <c r="A227" s="1">
        <v>226</v>
      </c>
      <c r="B227" s="1">
        <v>0.96005550169999998</v>
      </c>
      <c r="C227" s="1">
        <v>-0.28521265899999998</v>
      </c>
      <c r="D227" s="1">
        <v>-0.12361442290000001</v>
      </c>
      <c r="E227" s="1">
        <v>1.0091250432000001</v>
      </c>
    </row>
    <row r="228" spans="1:5" x14ac:dyDescent="0.3">
      <c r="A228" s="1">
        <v>227</v>
      </c>
      <c r="B228" s="1">
        <v>0.96493518629999997</v>
      </c>
      <c r="C228" s="1">
        <v>-0.27022076360000002</v>
      </c>
      <c r="D228" s="1">
        <v>-0.11711523309999999</v>
      </c>
      <c r="E228" s="1">
        <v>1.0088781654000001</v>
      </c>
    </row>
    <row r="229" spans="1:5" x14ac:dyDescent="0.3">
      <c r="A229" s="1">
        <v>228</v>
      </c>
      <c r="B229" s="1">
        <v>0.96953673090000003</v>
      </c>
      <c r="C229" s="1">
        <v>-0.2551509797</v>
      </c>
      <c r="D229" s="1">
        <v>-0.1105822861</v>
      </c>
      <c r="E229" s="1">
        <v>1.0086287409000001</v>
      </c>
    </row>
    <row r="230" spans="1:5" x14ac:dyDescent="0.3">
      <c r="A230" s="1">
        <v>229</v>
      </c>
      <c r="B230" s="1">
        <v>0.97385860179999995</v>
      </c>
      <c r="C230" s="1">
        <v>-0.24000759660000001</v>
      </c>
      <c r="D230" s="1">
        <v>-0.1040174412</v>
      </c>
      <c r="E230" s="1">
        <v>1.0083768396999999</v>
      </c>
    </row>
    <row r="231" spans="1:5" x14ac:dyDescent="0.3">
      <c r="A231" s="1">
        <v>230</v>
      </c>
      <c r="B231" s="1">
        <v>0.97789934190000005</v>
      </c>
      <c r="C231" s="1">
        <v>-0.22479493070000001</v>
      </c>
      <c r="D231" s="1">
        <v>-9.7422569599999995E-2</v>
      </c>
      <c r="E231" s="1">
        <v>1.0081225327000001</v>
      </c>
    </row>
    <row r="232" spans="1:5" x14ac:dyDescent="0.3">
      <c r="A232" s="1">
        <v>231</v>
      </c>
      <c r="B232" s="1">
        <v>0.98165757129999998</v>
      </c>
      <c r="C232" s="1">
        <v>-0.2095173243</v>
      </c>
      <c r="D232" s="1">
        <v>-9.0799553899999996E-2</v>
      </c>
      <c r="E232" s="1">
        <v>1.0078658916000001</v>
      </c>
    </row>
    <row r="233" spans="1:5" x14ac:dyDescent="0.3">
      <c r="A233" s="1">
        <v>232</v>
      </c>
      <c r="B233" s="1">
        <v>0.98513198749999997</v>
      </c>
      <c r="C233" s="1">
        <v>-0.19417914480000001</v>
      </c>
      <c r="D233" s="1">
        <v>-8.4150287300000001E-2</v>
      </c>
      <c r="E233" s="1">
        <v>1.0076069888999999</v>
      </c>
    </row>
    <row r="234" spans="1:5" x14ac:dyDescent="0.3">
      <c r="A234" s="1">
        <v>233</v>
      </c>
      <c r="B234" s="1">
        <v>0.98832136670000004</v>
      </c>
      <c r="C234" s="1">
        <v>-0.17878478349999999</v>
      </c>
      <c r="D234" s="1">
        <v>-7.7476673600000004E-2</v>
      </c>
      <c r="E234" s="1">
        <v>1.0073458977</v>
      </c>
    </row>
    <row r="235" spans="1:5" x14ac:dyDescent="0.3">
      <c r="A235" s="1">
        <v>234</v>
      </c>
      <c r="B235" s="1">
        <v>0.9912245636</v>
      </c>
      <c r="C235" s="1">
        <v>-0.1633386543</v>
      </c>
      <c r="D235" s="1">
        <v>-7.0780626099999994E-2</v>
      </c>
      <c r="E235" s="1">
        <v>1.007082692</v>
      </c>
    </row>
    <row r="236" spans="1:5" x14ac:dyDescent="0.3">
      <c r="A236" s="1">
        <v>235</v>
      </c>
      <c r="B236" s="1">
        <v>0.99384051269999996</v>
      </c>
      <c r="C236" s="1">
        <v>-0.14784519260000001</v>
      </c>
      <c r="D236" s="1">
        <v>-6.4064067700000005E-2</v>
      </c>
      <c r="E236" s="1">
        <v>1.0068174463999999</v>
      </c>
    </row>
    <row r="237" spans="1:5" x14ac:dyDescent="0.3">
      <c r="A237" s="1">
        <v>236</v>
      </c>
      <c r="B237" s="1">
        <v>0.99616822829999996</v>
      </c>
      <c r="C237" s="1">
        <v>-0.13230885449999999</v>
      </c>
      <c r="D237" s="1">
        <v>-5.7328930200000003E-2</v>
      </c>
      <c r="E237" s="1">
        <v>1.0065502364000001</v>
      </c>
    </row>
    <row r="238" spans="1:5" x14ac:dyDescent="0.3">
      <c r="A238" s="1">
        <v>237</v>
      </c>
      <c r="B238" s="1">
        <v>0.99820680530000006</v>
      </c>
      <c r="C238" s="1">
        <v>-0.1167341152</v>
      </c>
      <c r="D238" s="1">
        <v>-5.0577153600000001E-2</v>
      </c>
      <c r="E238" s="1">
        <v>1.0062811378000001</v>
      </c>
    </row>
    <row r="239" spans="1:5" x14ac:dyDescent="0.3">
      <c r="A239" s="1">
        <v>238</v>
      </c>
      <c r="B239" s="1">
        <v>0.99995541970000001</v>
      </c>
      <c r="C239" s="1">
        <v>-0.1011254681</v>
      </c>
      <c r="D239" s="1">
        <v>-4.3810685799999999E-2</v>
      </c>
      <c r="E239" s="1">
        <v>1.0060102275</v>
      </c>
    </row>
    <row r="240" spans="1:5" x14ac:dyDescent="0.3">
      <c r="A240" s="1">
        <v>239</v>
      </c>
      <c r="B240" s="1">
        <v>1.0014133287</v>
      </c>
      <c r="C240" s="1">
        <v>-8.5487423399999998E-2</v>
      </c>
      <c r="D240" s="1">
        <v>-3.7031482099999999E-2</v>
      </c>
      <c r="E240" s="1">
        <v>1.0057375826999999</v>
      </c>
    </row>
    <row r="241" spans="1:5" x14ac:dyDescent="0.3">
      <c r="A241" s="1">
        <v>240</v>
      </c>
      <c r="B241" s="1">
        <v>1.0025798720000001</v>
      </c>
      <c r="C241" s="1">
        <v>-6.9824507199999997E-2</v>
      </c>
      <c r="D241" s="1">
        <v>-3.02415046E-2</v>
      </c>
      <c r="E241" s="1">
        <v>1.0054632814</v>
      </c>
    </row>
    <row r="242" spans="1:5" x14ac:dyDescent="0.3">
      <c r="A242" s="1">
        <v>241</v>
      </c>
      <c r="B242" s="1">
        <v>1.0034544714</v>
      </c>
      <c r="C242" s="1">
        <v>-5.4141259999999997E-2</v>
      </c>
      <c r="D242" s="1">
        <v>-2.3442721499999999E-2</v>
      </c>
      <c r="E242" s="1">
        <v>1.0051874021</v>
      </c>
    </row>
    <row r="243" spans="1:5" x14ac:dyDescent="0.3">
      <c r="A243" s="1">
        <v>242</v>
      </c>
      <c r="B243" s="1">
        <v>1.0040366316</v>
      </c>
      <c r="C243" s="1">
        <v>-3.8442235599999999E-2</v>
      </c>
      <c r="D243" s="1">
        <v>-1.6637107000000002E-2</v>
      </c>
      <c r="E243" s="1">
        <v>1.0049100241</v>
      </c>
    </row>
    <row r="244" spans="1:5" x14ac:dyDescent="0.3">
      <c r="A244" s="1">
        <v>243</v>
      </c>
      <c r="B244" s="1">
        <v>1.0043259408</v>
      </c>
      <c r="C244" s="1">
        <v>-2.27319998E-2</v>
      </c>
      <c r="D244" s="1">
        <v>-9.8266405000000008E-3</v>
      </c>
      <c r="E244" s="1">
        <v>1.0046312269</v>
      </c>
    </row>
    <row r="245" spans="1:5" x14ac:dyDescent="0.3">
      <c r="A245" s="1">
        <v>244</v>
      </c>
      <c r="B245" s="1">
        <v>1.0043220707</v>
      </c>
      <c r="C245" s="1">
        <v>-7.0151294999999999E-3</v>
      </c>
      <c r="D245" s="1">
        <v>-3.0133058999999998E-3</v>
      </c>
      <c r="E245" s="1">
        <v>1.0043510909</v>
      </c>
    </row>
    <row r="246" spans="1:5" x14ac:dyDescent="0.3">
      <c r="A246" s="1">
        <v>245</v>
      </c>
      <c r="B246" s="1">
        <v>1.0040247770999999</v>
      </c>
      <c r="C246" s="1">
        <v>8.7037891999999992E-3</v>
      </c>
      <c r="D246" s="1">
        <v>3.8009085000000001E-3</v>
      </c>
      <c r="E246" s="1">
        <v>1.0040696967</v>
      </c>
    </row>
    <row r="247" spans="1:5" x14ac:dyDescent="0.3">
      <c r="A247" s="1">
        <v>246</v>
      </c>
      <c r="B247" s="1">
        <v>1.0034339002999999</v>
      </c>
      <c r="C247" s="1">
        <v>2.4420161700000002E-2</v>
      </c>
      <c r="D247" s="1">
        <v>1.0614011E-2</v>
      </c>
      <c r="E247" s="1">
        <v>1.0037871258</v>
      </c>
    </row>
    <row r="248" spans="1:5" x14ac:dyDescent="0.3">
      <c r="A248" s="1">
        <v>247</v>
      </c>
      <c r="B248" s="1">
        <v>1.0025493652999999</v>
      </c>
      <c r="C248" s="1">
        <v>4.0129386500000003E-2</v>
      </c>
      <c r="D248" s="1">
        <v>1.7424006799999999E-2</v>
      </c>
      <c r="E248" s="1">
        <v>1.0035034597000001</v>
      </c>
    </row>
    <row r="249" spans="1:5" x14ac:dyDescent="0.3">
      <c r="A249" s="1">
        <v>248</v>
      </c>
      <c r="B249" s="1">
        <v>1.0013711822</v>
      </c>
      <c r="C249" s="1">
        <v>5.5826856299999998E-2</v>
      </c>
      <c r="D249" s="1">
        <v>2.42288986E-2</v>
      </c>
      <c r="E249" s="1">
        <v>1.0032187806999999</v>
      </c>
    </row>
    <row r="250" spans="1:5" x14ac:dyDescent="0.3">
      <c r="A250" s="1">
        <v>249</v>
      </c>
      <c r="B250" s="1">
        <v>0.99989944639999995</v>
      </c>
      <c r="C250" s="1">
        <v>7.1507959400000001E-2</v>
      </c>
      <c r="D250" s="1">
        <v>3.1026687300000001E-2</v>
      </c>
      <c r="E250" s="1">
        <v>1.0029331715000001</v>
      </c>
    </row>
    <row r="251" spans="1:5" x14ac:dyDescent="0.3">
      <c r="A251" s="1">
        <v>250</v>
      </c>
      <c r="B251" s="1">
        <v>0.99813433890000003</v>
      </c>
      <c r="C251" s="1">
        <v>8.7168080999999994E-2</v>
      </c>
      <c r="D251" s="1">
        <v>3.7815372299999997E-2</v>
      </c>
      <c r="E251" s="1">
        <v>1.0026467151</v>
      </c>
    </row>
    <row r="252" spans="1:5" x14ac:dyDescent="0.3">
      <c r="A252" s="1">
        <v>251</v>
      </c>
      <c r="B252" s="1">
        <v>0.9960761266</v>
      </c>
      <c r="C252" s="1">
        <v>0.10280260469999999</v>
      </c>
      <c r="D252" s="1">
        <v>4.4592952399999997E-2</v>
      </c>
      <c r="E252" s="1">
        <v>1.0023594948000001</v>
      </c>
    </row>
    <row r="253" spans="1:5" x14ac:dyDescent="0.3">
      <c r="A253" s="1">
        <v>252</v>
      </c>
      <c r="B253" s="1">
        <v>0.99372516239999997</v>
      </c>
      <c r="C253" s="1">
        <v>0.1184069133</v>
      </c>
      <c r="D253" s="1">
        <v>5.1357425999999998E-2</v>
      </c>
      <c r="E253" s="1">
        <v>1.0020715946000001</v>
      </c>
    </row>
    <row r="254" spans="1:5" x14ac:dyDescent="0.3">
      <c r="A254" s="1">
        <v>253</v>
      </c>
      <c r="B254" s="1">
        <v>0.99108188559999999</v>
      </c>
      <c r="C254" s="1">
        <v>0.1339763907</v>
      </c>
      <c r="D254" s="1">
        <v>5.8106791999999997E-2</v>
      </c>
      <c r="E254" s="1">
        <v>1.0017830986</v>
      </c>
    </row>
    <row r="255" spans="1:5" x14ac:dyDescent="0.3">
      <c r="A255" s="1">
        <v>254</v>
      </c>
      <c r="B255" s="1">
        <v>0.98814682190000003</v>
      </c>
      <c r="C255" s="1">
        <v>0.149506423</v>
      </c>
      <c r="D255" s="1">
        <v>6.4839050300000006E-2</v>
      </c>
      <c r="E255" s="1">
        <v>1.0014940911000001</v>
      </c>
    </row>
    <row r="256" spans="1:5" x14ac:dyDescent="0.3">
      <c r="A256" s="1">
        <v>255</v>
      </c>
      <c r="B256" s="1">
        <v>0.98492058339999999</v>
      </c>
      <c r="C256" s="1">
        <v>0.16499240000000001</v>
      </c>
      <c r="D256" s="1">
        <v>7.1552202400000001E-2</v>
      </c>
      <c r="E256" s="1">
        <v>1.0012046571</v>
      </c>
    </row>
    <row r="257" spans="1:5" x14ac:dyDescent="0.3">
      <c r="A257" s="1">
        <v>256</v>
      </c>
      <c r="B257" s="1">
        <v>0.9814038692</v>
      </c>
      <c r="C257" s="1">
        <v>0.18042971629999999</v>
      </c>
      <c r="D257" s="1">
        <v>7.8244251900000006E-2</v>
      </c>
      <c r="E257" s="1">
        <v>1.0009148815</v>
      </c>
    </row>
    <row r="258" spans="1:5" x14ac:dyDescent="0.3">
      <c r="A258" s="1">
        <v>257</v>
      </c>
      <c r="B258" s="1">
        <v>0.97759746489999999</v>
      </c>
      <c r="C258" s="1">
        <v>0.195813773</v>
      </c>
      <c r="D258" s="1">
        <v>8.4913205000000005E-2</v>
      </c>
      <c r="E258" s="1">
        <v>1.0006248496000001</v>
      </c>
    </row>
    <row r="259" spans="1:5" x14ac:dyDescent="0.3">
      <c r="A259" s="1">
        <v>258</v>
      </c>
      <c r="B259" s="1">
        <v>0.97350224330000001</v>
      </c>
      <c r="C259" s="1">
        <v>0.21113997870000001</v>
      </c>
      <c r="D259" s="1">
        <v>9.1557071500000003E-2</v>
      </c>
      <c r="E259" s="1">
        <v>1.0003346468000001</v>
      </c>
    </row>
    <row r="260" spans="1:5" x14ac:dyDescent="0.3">
      <c r="A260" s="1">
        <v>259</v>
      </c>
      <c r="B260" s="1">
        <v>0.96911916379999996</v>
      </c>
      <c r="C260" s="1">
        <v>0.22640375139999999</v>
      </c>
      <c r="D260" s="1">
        <v>9.8173864999999999E-2</v>
      </c>
      <c r="E260" s="1">
        <v>1.0000443590999999</v>
      </c>
    </row>
    <row r="261" spans="1:5" x14ac:dyDescent="0.3">
      <c r="A261" s="1">
        <v>260</v>
      </c>
      <c r="B261" s="1">
        <v>0.96444927300000005</v>
      </c>
      <c r="C261" s="1">
        <v>0.24160051930000001</v>
      </c>
      <c r="D261" s="1">
        <v>0.1047616037</v>
      </c>
      <c r="E261" s="1">
        <v>0.9997540721</v>
      </c>
    </row>
    <row r="262" spans="1:5" x14ac:dyDescent="0.3">
      <c r="A262" s="1">
        <v>261</v>
      </c>
      <c r="B262" s="1">
        <v>0.95949370410000001</v>
      </c>
      <c r="C262" s="1">
        <v>0.2567257228</v>
      </c>
      <c r="D262" s="1">
        <v>0.111318311</v>
      </c>
      <c r="E262" s="1">
        <v>0.99946387189999997</v>
      </c>
    </row>
    <row r="263" spans="1:5" x14ac:dyDescent="0.3">
      <c r="A263" s="1">
        <v>262</v>
      </c>
      <c r="B263" s="1">
        <v>0.95425367750000001</v>
      </c>
      <c r="C263" s="1">
        <v>0.27177481549999999</v>
      </c>
      <c r="D263" s="1">
        <v>0.11784201599999999</v>
      </c>
      <c r="E263" s="1">
        <v>0.99917384480000004</v>
      </c>
    </row>
    <row r="264" spans="1:5" x14ac:dyDescent="0.3">
      <c r="A264" s="1">
        <v>263</v>
      </c>
      <c r="B264" s="1">
        <v>0.94873050020000005</v>
      </c>
      <c r="C264" s="1">
        <v>0.28674326560000002</v>
      </c>
      <c r="D264" s="1">
        <v>0.1243307543</v>
      </c>
      <c r="E264" s="1">
        <v>0.99888407680000002</v>
      </c>
    </row>
    <row r="265" spans="1:5" x14ac:dyDescent="0.3">
      <c r="A265" s="1">
        <v>264</v>
      </c>
      <c r="B265" s="1">
        <v>0.94292556620000001</v>
      </c>
      <c r="C265" s="1">
        <v>0.30162655779999997</v>
      </c>
      <c r="D265" s="1">
        <v>0.1307825685</v>
      </c>
      <c r="E265" s="1">
        <v>0.99859465449999996</v>
      </c>
    </row>
    <row r="266" spans="1:5" x14ac:dyDescent="0.3">
      <c r="A266" s="1">
        <v>265</v>
      </c>
      <c r="B266" s="1">
        <v>0.93684035570000002</v>
      </c>
      <c r="C266" s="1">
        <v>0.31642019399999999</v>
      </c>
      <c r="D266" s="1">
        <v>0.13719550859999999</v>
      </c>
      <c r="E266" s="1">
        <v>0.99830566399999998</v>
      </c>
    </row>
    <row r="267" spans="1:5" x14ac:dyDescent="0.3">
      <c r="A267" s="1">
        <v>266</v>
      </c>
      <c r="B267" s="1">
        <v>0.93047643570000005</v>
      </c>
      <c r="C267" s="1">
        <v>0.33111969540000002</v>
      </c>
      <c r="D267" s="1">
        <v>0.14356763310000001</v>
      </c>
      <c r="E267" s="1">
        <v>0.99801719200000005</v>
      </c>
    </row>
    <row r="268" spans="1:5" x14ac:dyDescent="0.3">
      <c r="A268" s="1">
        <v>267</v>
      </c>
      <c r="B268" s="1">
        <v>0.9238354594</v>
      </c>
      <c r="C268" s="1">
        <v>0.34572060339999999</v>
      </c>
      <c r="D268" s="1">
        <v>0.1498970094</v>
      </c>
      <c r="E268" s="1">
        <v>0.99772932459999997</v>
      </c>
    </row>
    <row r="269" spans="1:5" x14ac:dyDescent="0.3">
      <c r="A269" s="1">
        <v>268</v>
      </c>
      <c r="B269" s="1">
        <v>0.91691916600000001</v>
      </c>
      <c r="C269" s="1">
        <v>0.36021848159999997</v>
      </c>
      <c r="D269" s="1">
        <v>0.156181714</v>
      </c>
      <c r="E269" s="1">
        <v>0.9974421483</v>
      </c>
    </row>
    <row r="270" spans="1:5" x14ac:dyDescent="0.3">
      <c r="A270" s="1">
        <v>269</v>
      </c>
      <c r="B270" s="1">
        <v>0.90972938049999996</v>
      </c>
      <c r="C270" s="1">
        <v>0.37460891660000001</v>
      </c>
      <c r="D270" s="1">
        <v>0.16241983400000001</v>
      </c>
      <c r="E270" s="1">
        <v>0.99715574939999996</v>
      </c>
    </row>
    <row r="271" spans="1:5" x14ac:dyDescent="0.3">
      <c r="A271" s="1">
        <v>270</v>
      </c>
      <c r="B271" s="1">
        <v>0.90226801359999997</v>
      </c>
      <c r="C271" s="1">
        <v>0.38888751989999998</v>
      </c>
      <c r="D271" s="1">
        <v>0.16860946700000001</v>
      </c>
      <c r="E271" s="1">
        <v>0.99687021409999999</v>
      </c>
    </row>
    <row r="272" spans="1:5" x14ac:dyDescent="0.3">
      <c r="A272" s="1">
        <v>271</v>
      </c>
      <c r="B272" s="1">
        <v>0.89453706119999998</v>
      </c>
      <c r="C272" s="1">
        <v>0.40304992919999999</v>
      </c>
      <c r="D272" s="1">
        <v>0.17474872189999999</v>
      </c>
      <c r="E272" s="1">
        <v>0.9965856286</v>
      </c>
    </row>
    <row r="273" spans="1:5" x14ac:dyDescent="0.3">
      <c r="A273" s="1">
        <v>272</v>
      </c>
      <c r="B273" s="1">
        <v>0.88653860409999996</v>
      </c>
      <c r="C273" s="1">
        <v>0.41709180979999999</v>
      </c>
      <c r="D273" s="1">
        <v>0.1808357196</v>
      </c>
      <c r="E273" s="1">
        <v>0.99630207859999997</v>
      </c>
    </row>
    <row r="274" spans="1:5" x14ac:dyDescent="0.3">
      <c r="A274" s="1">
        <v>273</v>
      </c>
      <c r="B274" s="1">
        <v>0.8782748078</v>
      </c>
      <c r="C274" s="1">
        <v>0.43100885630000002</v>
      </c>
      <c r="D274" s="1">
        <v>0.18686859380000001</v>
      </c>
      <c r="E274" s="1">
        <v>0.99601965020000005</v>
      </c>
    </row>
    <row r="275" spans="1:5" x14ac:dyDescent="0.3">
      <c r="A275" s="1">
        <v>274</v>
      </c>
      <c r="B275" s="1">
        <v>0.86974792190000005</v>
      </c>
      <c r="C275" s="1">
        <v>0.4447967934</v>
      </c>
      <c r="D275" s="1">
        <v>0.1928454913</v>
      </c>
      <c r="E275" s="1">
        <v>0.99573842879999996</v>
      </c>
    </row>
    <row r="276" spans="1:5" x14ac:dyDescent="0.3">
      <c r="A276" s="1">
        <v>275</v>
      </c>
      <c r="B276" s="1">
        <v>0.86096027980000001</v>
      </c>
      <c r="C276" s="1">
        <v>0.45845137819999998</v>
      </c>
      <c r="D276" s="1">
        <v>0.1987645727</v>
      </c>
      <c r="E276" s="1">
        <v>0.99545849980000001</v>
      </c>
    </row>
    <row r="277" spans="1:5" x14ac:dyDescent="0.3">
      <c r="A277" s="1">
        <v>276</v>
      </c>
      <c r="B277" s="1">
        <v>0.85191429819999998</v>
      </c>
      <c r="C277" s="1">
        <v>0.47196840099999998</v>
      </c>
      <c r="D277" s="1">
        <v>0.20462401320000001</v>
      </c>
      <c r="E277" s="1">
        <v>0.99517994850000002</v>
      </c>
    </row>
    <row r="278" spans="1:5" x14ac:dyDescent="0.3">
      <c r="A278" s="1">
        <v>277</v>
      </c>
      <c r="B278" s="1">
        <v>0.84261247679999995</v>
      </c>
      <c r="C278" s="1">
        <v>0.48534368700000002</v>
      </c>
      <c r="D278" s="1">
        <v>0.210422003</v>
      </c>
      <c r="E278" s="1">
        <v>0.99490285950000001</v>
      </c>
    </row>
    <row r="279" spans="1:5" x14ac:dyDescent="0.3">
      <c r="A279" s="1">
        <v>278</v>
      </c>
      <c r="B279" s="1">
        <v>0.83305739739999995</v>
      </c>
      <c r="C279" s="1">
        <v>0.49857309760000001</v>
      </c>
      <c r="D279" s="1">
        <v>0.21615674830000001</v>
      </c>
      <c r="E279" s="1">
        <v>0.9946273176</v>
      </c>
    </row>
    <row r="280" spans="1:5" x14ac:dyDescent="0.3">
      <c r="A280" s="1">
        <v>279</v>
      </c>
      <c r="B280" s="1">
        <v>0.82325172369999999</v>
      </c>
      <c r="C280" s="1">
        <v>0.51165253219999995</v>
      </c>
      <c r="D280" s="1">
        <v>0.22182647129999999</v>
      </c>
      <c r="E280" s="1">
        <v>0.99435340679999995</v>
      </c>
    </row>
    <row r="281" spans="1:5" x14ac:dyDescent="0.3">
      <c r="A281" s="1">
        <v>280</v>
      </c>
      <c r="B281" s="1">
        <v>0.81319820060000003</v>
      </c>
      <c r="C281" s="1">
        <v>0.52457792910000001</v>
      </c>
      <c r="D281" s="1">
        <v>0.2274294114</v>
      </c>
      <c r="E281" s="1">
        <v>0.99408121110000003</v>
      </c>
    </row>
    <row r="282" spans="1:5" x14ac:dyDescent="0.3">
      <c r="A282" s="1">
        <v>281</v>
      </c>
      <c r="B282" s="1">
        <v>0.80289965370000005</v>
      </c>
      <c r="C282" s="1">
        <v>0.53734526709999997</v>
      </c>
      <c r="D282" s="1">
        <v>0.2329638255</v>
      </c>
      <c r="E282" s="1">
        <v>0.99381081400000004</v>
      </c>
    </row>
    <row r="283" spans="1:5" x14ac:dyDescent="0.3">
      <c r="A283" s="1">
        <v>282</v>
      </c>
      <c r="B283" s="1">
        <v>0.79235898829999996</v>
      </c>
      <c r="C283" s="1">
        <v>0.54995056740000003</v>
      </c>
      <c r="D283" s="1">
        <v>0.23842798879999999</v>
      </c>
      <c r="E283" s="1">
        <v>0.99354229839999997</v>
      </c>
    </row>
    <row r="284" spans="1:5" x14ac:dyDescent="0.3">
      <c r="A284" s="1">
        <v>283</v>
      </c>
      <c r="B284" s="1">
        <v>0.78157918920000002</v>
      </c>
      <c r="C284" s="1">
        <v>0.56238989409999995</v>
      </c>
      <c r="D284" s="1">
        <v>0.24382019520000001</v>
      </c>
      <c r="E284" s="1">
        <v>0.99327574699999999</v>
      </c>
    </row>
    <row r="285" spans="1:5" x14ac:dyDescent="0.3">
      <c r="A285" s="1">
        <v>284</v>
      </c>
      <c r="B285" s="1">
        <v>0.77056331970000003</v>
      </c>
      <c r="C285" s="1">
        <v>0.5746593566</v>
      </c>
      <c r="D285" s="1">
        <v>0.2491387582</v>
      </c>
      <c r="E285" s="1">
        <v>0.99301124190000001</v>
      </c>
    </row>
    <row r="286" spans="1:5" x14ac:dyDescent="0.3">
      <c r="A286" s="1">
        <v>285</v>
      </c>
      <c r="B286" s="1">
        <v>0.75931452099999996</v>
      </c>
      <c r="C286" s="1">
        <v>0.58675511020000004</v>
      </c>
      <c r="D286" s="1">
        <v>0.25438201110000003</v>
      </c>
      <c r="E286" s="1">
        <v>0.99274886490000003</v>
      </c>
    </row>
    <row r="287" spans="1:5" x14ac:dyDescent="0.3">
      <c r="A287" s="1">
        <v>286</v>
      </c>
      <c r="B287" s="1">
        <v>0.74783601119999998</v>
      </c>
      <c r="C287" s="1">
        <v>0.59867335799999999</v>
      </c>
      <c r="D287" s="1">
        <v>0.25954830810000001</v>
      </c>
      <c r="E287" s="1">
        <v>0.99248869679999996</v>
      </c>
    </row>
    <row r="288" spans="1:5" x14ac:dyDescent="0.3">
      <c r="A288" s="1">
        <v>287</v>
      </c>
      <c r="B288" s="1">
        <v>0.7361310848</v>
      </c>
      <c r="C288" s="1">
        <v>0.61041035190000004</v>
      </c>
      <c r="D288" s="1">
        <v>0.2646360244</v>
      </c>
      <c r="E288" s="1">
        <v>0.99223081849999994</v>
      </c>
    </row>
    <row r="289" spans="1:5" x14ac:dyDescent="0.3">
      <c r="A289" s="1">
        <v>288</v>
      </c>
      <c r="B289" s="1">
        <v>0.72420311169999996</v>
      </c>
      <c r="C289" s="1">
        <v>0.62196239440000001</v>
      </c>
      <c r="D289" s="1">
        <v>0.2696435573</v>
      </c>
      <c r="E289" s="1">
        <v>0.99197530970000003</v>
      </c>
    </row>
    <row r="290" spans="1:5" x14ac:dyDescent="0.3">
      <c r="A290" s="1">
        <v>289</v>
      </c>
      <c r="B290" s="1">
        <v>0.71205553629999996</v>
      </c>
      <c r="C290" s="1">
        <v>0.6333258396</v>
      </c>
      <c r="D290" s="1">
        <v>0.27456932630000003</v>
      </c>
      <c r="E290" s="1">
        <v>0.99172224980000001</v>
      </c>
    </row>
    <row r="291" spans="1:5" x14ac:dyDescent="0.3">
      <c r="A291" s="1">
        <v>290</v>
      </c>
      <c r="B291" s="1">
        <v>0.6996918768</v>
      </c>
      <c r="C291" s="1">
        <v>0.64449709460000004</v>
      </c>
      <c r="D291" s="1">
        <v>0.27941177410000001</v>
      </c>
      <c r="E291" s="1">
        <v>0.99147171769999998</v>
      </c>
    </row>
    <row r="292" spans="1:5" x14ac:dyDescent="0.3">
      <c r="A292" s="1">
        <v>291</v>
      </c>
      <c r="B292" s="1">
        <v>0.68711572389999998</v>
      </c>
      <c r="C292" s="1">
        <v>0.65547262120000005</v>
      </c>
      <c r="D292" s="1">
        <v>0.28416936669999998</v>
      </c>
      <c r="E292" s="1">
        <v>0.99122379120000004</v>
      </c>
    </row>
    <row r="293" spans="1:5" x14ac:dyDescent="0.3">
      <c r="A293" s="1">
        <v>292</v>
      </c>
      <c r="B293" s="1">
        <v>0.67433074029999995</v>
      </c>
      <c r="C293" s="1">
        <v>0.66624893669999996</v>
      </c>
      <c r="D293" s="1">
        <v>0.28884059480000002</v>
      </c>
      <c r="E293" s="1">
        <v>0.99097854780000005</v>
      </c>
    </row>
    <row r="294" spans="1:5" x14ac:dyDescent="0.3">
      <c r="A294" s="1">
        <v>293</v>
      </c>
      <c r="B294" s="1">
        <v>0.66134065919999996</v>
      </c>
      <c r="C294" s="1">
        <v>0.67682261570000002</v>
      </c>
      <c r="D294" s="1">
        <v>0.29342397320000002</v>
      </c>
      <c r="E294" s="1">
        <v>0.99073606410000004</v>
      </c>
    </row>
    <row r="295" spans="1:5" x14ac:dyDescent="0.3">
      <c r="A295" s="1">
        <v>294</v>
      </c>
      <c r="B295" s="1">
        <v>0.64814928370000002</v>
      </c>
      <c r="C295" s="1">
        <v>0.68719029080000005</v>
      </c>
      <c r="D295" s="1">
        <v>0.29791804249999998</v>
      </c>
      <c r="E295" s="1">
        <v>0.99049641590000004</v>
      </c>
    </row>
    <row r="296" spans="1:5" x14ac:dyDescent="0.3">
      <c r="A296" s="1">
        <v>295</v>
      </c>
      <c r="B296" s="1">
        <v>0.63476048559999998</v>
      </c>
      <c r="C296" s="1">
        <v>0.69734865479999997</v>
      </c>
      <c r="D296" s="1">
        <v>0.30232136910000001</v>
      </c>
      <c r="E296" s="1">
        <v>0.99025967839999995</v>
      </c>
    </row>
    <row r="297" spans="1:5" x14ac:dyDescent="0.3">
      <c r="A297" s="1">
        <v>296</v>
      </c>
      <c r="B297" s="1">
        <v>0.62117820420000003</v>
      </c>
      <c r="C297" s="1">
        <v>0.70729446100000004</v>
      </c>
      <c r="D297" s="1">
        <v>0.30663254550000002</v>
      </c>
      <c r="E297" s="1">
        <v>0.99002592590000005</v>
      </c>
    </row>
    <row r="298" spans="1:5" x14ac:dyDescent="0.3">
      <c r="A298" s="1">
        <v>297</v>
      </c>
      <c r="B298" s="1">
        <v>0.60740644509999997</v>
      </c>
      <c r="C298" s="1">
        <v>0.71702452510000003</v>
      </c>
      <c r="D298" s="1">
        <v>0.31085019139999998</v>
      </c>
      <c r="E298" s="1">
        <v>0.98979523170000006</v>
      </c>
    </row>
    <row r="299" spans="1:5" x14ac:dyDescent="0.3">
      <c r="A299" s="1">
        <v>298</v>
      </c>
      <c r="B299" s="1">
        <v>0.59344927950000004</v>
      </c>
      <c r="C299" s="1">
        <v>0.72653572619999995</v>
      </c>
      <c r="D299" s="1">
        <v>0.31497295419999999</v>
      </c>
      <c r="E299" s="1">
        <v>0.98956766860000001</v>
      </c>
    </row>
    <row r="300" spans="1:5" x14ac:dyDescent="0.3">
      <c r="A300" s="1">
        <v>299</v>
      </c>
      <c r="B300" s="1">
        <v>0.57931084249999998</v>
      </c>
      <c r="C300" s="1">
        <v>0.73582500799999995</v>
      </c>
      <c r="D300" s="1">
        <v>0.31899950890000001</v>
      </c>
      <c r="E300" s="1">
        <v>0.98934330810000004</v>
      </c>
    </row>
    <row r="301" spans="1:5" x14ac:dyDescent="0.3">
      <c r="A301" s="1">
        <v>300</v>
      </c>
      <c r="B301" s="1">
        <v>0.56499533219999998</v>
      </c>
      <c r="C301" s="1">
        <v>0.74488938019999995</v>
      </c>
      <c r="D301" s="1">
        <v>0.32292855929999997</v>
      </c>
      <c r="E301" s="1">
        <v>0.98912222120000004</v>
      </c>
    </row>
    <row r="302" spans="1:5" x14ac:dyDescent="0.3">
      <c r="A302" s="1">
        <v>301</v>
      </c>
      <c r="B302" s="1">
        <v>0.55050700819999998</v>
      </c>
      <c r="C302" s="1">
        <v>0.75372591929999999</v>
      </c>
      <c r="D302" s="1">
        <v>0.32675883839999997</v>
      </c>
      <c r="E302" s="1">
        <v>0.98890447770000001</v>
      </c>
    </row>
    <row r="303" spans="1:5" x14ac:dyDescent="0.3">
      <c r="A303" s="1">
        <v>302</v>
      </c>
      <c r="B303" s="1">
        <v>0.53585019069999995</v>
      </c>
      <c r="C303" s="1">
        <v>0.76233177029999999</v>
      </c>
      <c r="D303" s="1">
        <v>0.33048910840000001</v>
      </c>
      <c r="E303" s="1">
        <v>0.98869014639999997</v>
      </c>
    </row>
    <row r="304" spans="1:5" x14ac:dyDescent="0.3">
      <c r="A304" s="1">
        <v>303</v>
      </c>
      <c r="B304" s="1">
        <v>0.52102925879999995</v>
      </c>
      <c r="C304" s="1">
        <v>0.77070414740000004</v>
      </c>
      <c r="D304" s="1">
        <v>0.33411816179999998</v>
      </c>
      <c r="E304" s="1">
        <v>0.98847929540000001</v>
      </c>
    </row>
    <row r="305" spans="1:5" x14ac:dyDescent="0.3">
      <c r="A305" s="1">
        <v>304</v>
      </c>
      <c r="B305" s="1">
        <v>0.50604864930000004</v>
      </c>
      <c r="C305" s="1">
        <v>0.77884033519999996</v>
      </c>
      <c r="D305" s="1">
        <v>0.33764482169999999</v>
      </c>
      <c r="E305" s="1">
        <v>0.98827199129999999</v>
      </c>
    </row>
    <row r="306" spans="1:5" x14ac:dyDescent="0.3">
      <c r="A306" s="1">
        <v>305</v>
      </c>
      <c r="B306" s="1">
        <v>0.49091285540000001</v>
      </c>
      <c r="C306" s="1">
        <v>0.78673769010000005</v>
      </c>
      <c r="D306" s="1">
        <v>0.34106794219999997</v>
      </c>
      <c r="E306" s="1">
        <v>0.98806830020000003</v>
      </c>
    </row>
    <row r="307" spans="1:5" x14ac:dyDescent="0.3">
      <c r="A307" s="1">
        <v>306</v>
      </c>
      <c r="B307" s="1">
        <v>0.4756264254</v>
      </c>
      <c r="C307" s="1">
        <v>0.79439364099999998</v>
      </c>
      <c r="D307" s="1">
        <v>0.34438640879999999</v>
      </c>
      <c r="E307" s="1">
        <v>0.98786828670000004</v>
      </c>
    </row>
    <row r="308" spans="1:5" x14ac:dyDescent="0.3">
      <c r="A308" s="1">
        <v>307</v>
      </c>
      <c r="B308" s="1">
        <v>0.46019396099999998</v>
      </c>
      <c r="C308" s="1">
        <v>0.80180569049999995</v>
      </c>
      <c r="D308" s="1">
        <v>0.347599139</v>
      </c>
      <c r="E308" s="1">
        <v>0.98767201459999998</v>
      </c>
    </row>
    <row r="309" spans="1:5" x14ac:dyDescent="0.3">
      <c r="A309" s="1">
        <v>308</v>
      </c>
      <c r="B309" s="1">
        <v>0.44462011610000002</v>
      </c>
      <c r="C309" s="1">
        <v>0.80897141610000001</v>
      </c>
      <c r="D309" s="1">
        <v>0.3507050827</v>
      </c>
      <c r="E309" s="1">
        <v>0.98747954650000003</v>
      </c>
    </row>
    <row r="310" spans="1:5" x14ac:dyDescent="0.3">
      <c r="A310" s="1">
        <v>309</v>
      </c>
      <c r="B310" s="1">
        <v>0.42890959499999998</v>
      </c>
      <c r="C310" s="1">
        <v>0.81588847090000005</v>
      </c>
      <c r="D310" s="1">
        <v>0.35370322269999999</v>
      </c>
      <c r="E310" s="1">
        <v>0.98729094360000003</v>
      </c>
    </row>
    <row r="311" spans="1:5" x14ac:dyDescent="0.3">
      <c r="A311" s="1">
        <v>310</v>
      </c>
      <c r="B311" s="1">
        <v>0.41306715150000001</v>
      </c>
      <c r="C311" s="1">
        <v>0.82255458479999999</v>
      </c>
      <c r="D311" s="1">
        <v>0.35659257509999998</v>
      </c>
      <c r="E311" s="1">
        <v>0.98710626639999999</v>
      </c>
    </row>
    <row r="312" spans="1:5" x14ac:dyDescent="0.3">
      <c r="A312" s="1">
        <v>311</v>
      </c>
      <c r="B312" s="1">
        <v>0.3970975867</v>
      </c>
      <c r="C312" s="1">
        <v>0.82896756540000005</v>
      </c>
      <c r="D312" s="1">
        <v>0.35937218949999999</v>
      </c>
      <c r="E312" s="1">
        <v>0.98692557390000002</v>
      </c>
    </row>
    <row r="313" spans="1:5" x14ac:dyDescent="0.3">
      <c r="A313" s="1">
        <v>312</v>
      </c>
      <c r="B313" s="1">
        <v>0.38100574780000002</v>
      </c>
      <c r="C313" s="1">
        <v>0.83512529889999998</v>
      </c>
      <c r="D313" s="1">
        <v>0.36204114980000002</v>
      </c>
      <c r="E313" s="1">
        <v>0.98674892390000002</v>
      </c>
    </row>
    <row r="314" spans="1:5" x14ac:dyDescent="0.3">
      <c r="A314" s="1">
        <v>313</v>
      </c>
      <c r="B314" s="1">
        <v>0.3647965266</v>
      </c>
      <c r="C314" s="1">
        <v>0.8410257511</v>
      </c>
      <c r="D314" s="1">
        <v>0.36459857410000002</v>
      </c>
      <c r="E314" s="1">
        <v>0.98657637310000001</v>
      </c>
    </row>
    <row r="315" spans="1:5" x14ac:dyDescent="0.3">
      <c r="A315" s="1">
        <v>314</v>
      </c>
      <c r="B315" s="1">
        <v>0.34847485760000002</v>
      </c>
      <c r="C315" s="1">
        <v>0.84666696789999996</v>
      </c>
      <c r="D315" s="1">
        <v>0.36704361569999999</v>
      </c>
      <c r="E315" s="1">
        <v>0.98640797690000004</v>
      </c>
    </row>
    <row r="316" spans="1:5" x14ac:dyDescent="0.3">
      <c r="A316" s="1">
        <v>315</v>
      </c>
      <c r="B316" s="1">
        <v>0.33204571659999998</v>
      </c>
      <c r="C316" s="1">
        <v>0.85204707690000003</v>
      </c>
      <c r="D316" s="1">
        <v>0.36937546290000001</v>
      </c>
      <c r="E316" s="1">
        <v>0.98624378930000001</v>
      </c>
    </row>
    <row r="317" spans="1:5" x14ac:dyDescent="0.3">
      <c r="A317" s="1">
        <v>316</v>
      </c>
      <c r="B317" s="1">
        <v>0.31551411909999999</v>
      </c>
      <c r="C317" s="1">
        <v>0.85716428749999996</v>
      </c>
      <c r="D317" s="1">
        <v>0.37159333960000002</v>
      </c>
      <c r="E317" s="1">
        <v>0.98608386309999996</v>
      </c>
    </row>
    <row r="318" spans="1:5" x14ac:dyDescent="0.3">
      <c r="A318" s="1">
        <v>317</v>
      </c>
      <c r="B318" s="1">
        <v>0.29888511839999998</v>
      </c>
      <c r="C318" s="1">
        <v>0.86201689169999995</v>
      </c>
      <c r="D318" s="1">
        <v>0.3736965055</v>
      </c>
      <c r="E318" s="1">
        <v>0.98592824990000005</v>
      </c>
    </row>
    <row r="319" spans="1:5" x14ac:dyDescent="0.3">
      <c r="A319" s="1">
        <v>318</v>
      </c>
      <c r="B319" s="1">
        <v>0.28216380400000002</v>
      </c>
      <c r="C319" s="1">
        <v>0.86660326560000001</v>
      </c>
      <c r="D319" s="1">
        <v>0.3756842568</v>
      </c>
      <c r="E319" s="1">
        <v>0.98577699969999999</v>
      </c>
    </row>
    <row r="320" spans="1:5" x14ac:dyDescent="0.3">
      <c r="A320" s="1">
        <v>319</v>
      </c>
      <c r="B320" s="1">
        <v>0.26535530010000002</v>
      </c>
      <c r="C320" s="1">
        <v>0.87092186920000003</v>
      </c>
      <c r="D320" s="1">
        <v>0.37755592609999999</v>
      </c>
      <c r="E320" s="1">
        <v>0.98563016130000003</v>
      </c>
    </row>
    <row r="321" spans="1:5" x14ac:dyDescent="0.3">
      <c r="A321" s="1">
        <v>320</v>
      </c>
      <c r="B321" s="1">
        <v>0.24846476349999999</v>
      </c>
      <c r="C321" s="1">
        <v>0.87497124770000001</v>
      </c>
      <c r="D321" s="1">
        <v>0.37931088280000003</v>
      </c>
      <c r="E321" s="1">
        <v>0.9854877822</v>
      </c>
    </row>
    <row r="322" spans="1:5" x14ac:dyDescent="0.3">
      <c r="A322" s="1">
        <v>321</v>
      </c>
      <c r="B322" s="1">
        <v>0.23149738219999999</v>
      </c>
      <c r="C322" s="1">
        <v>0.87875003190000001</v>
      </c>
      <c r="D322" s="1">
        <v>0.38094853350000002</v>
      </c>
      <c r="E322" s="1">
        <v>0.98534990830000002</v>
      </c>
    </row>
    <row r="323" spans="1:5" x14ac:dyDescent="0.3">
      <c r="A323" s="1">
        <v>322</v>
      </c>
      <c r="B323" s="1">
        <v>0.2144583733</v>
      </c>
      <c r="C323" s="1">
        <v>0.88225693900000002</v>
      </c>
      <c r="D323" s="1">
        <v>0.38246832219999999</v>
      </c>
      <c r="E323" s="1">
        <v>0.98521658420000002</v>
      </c>
    </row>
    <row r="324" spans="1:5" x14ac:dyDescent="0.3">
      <c r="A324" s="1">
        <v>323</v>
      </c>
      <c r="B324" s="1">
        <v>0.1973529815</v>
      </c>
      <c r="C324" s="1">
        <v>0.88549077279999999</v>
      </c>
      <c r="D324" s="1">
        <v>0.38386973070000002</v>
      </c>
      <c r="E324" s="1">
        <v>0.98508785300000001</v>
      </c>
    </row>
    <row r="325" spans="1:5" x14ac:dyDescent="0.3">
      <c r="A325" s="1">
        <v>324</v>
      </c>
      <c r="B325" s="1">
        <v>0.1801864772</v>
      </c>
      <c r="C325" s="1">
        <v>0.88845042490000004</v>
      </c>
      <c r="D325" s="1">
        <v>0.38515227839999999</v>
      </c>
      <c r="E325" s="1">
        <v>0.98496375650000001</v>
      </c>
    </row>
    <row r="326" spans="1:5" x14ac:dyDescent="0.3">
      <c r="A326" s="1">
        <v>325</v>
      </c>
      <c r="B326" s="1">
        <v>0.16296415459999999</v>
      </c>
      <c r="C326" s="1">
        <v>0.89113487459999996</v>
      </c>
      <c r="D326" s="1">
        <v>0.3863155231</v>
      </c>
      <c r="E326" s="1">
        <v>0.9848443348</v>
      </c>
    </row>
    <row r="327" spans="1:5" x14ac:dyDescent="0.3">
      <c r="A327" s="1">
        <v>326</v>
      </c>
      <c r="B327" s="1">
        <v>0.1456913299</v>
      </c>
      <c r="C327" s="1">
        <v>0.89354318990000003</v>
      </c>
      <c r="D327" s="1">
        <v>0.38735906079999999</v>
      </c>
      <c r="E327" s="1">
        <v>0.98472962679999998</v>
      </c>
    </row>
    <row r="328" spans="1:5" x14ac:dyDescent="0.3">
      <c r="A328" s="1">
        <v>327</v>
      </c>
      <c r="B328" s="1">
        <v>0.12837333970000001</v>
      </c>
      <c r="C328" s="1">
        <v>0.89567452739999998</v>
      </c>
      <c r="D328" s="1">
        <v>0.38828252619999998</v>
      </c>
      <c r="E328" s="1">
        <v>0.98461966950000002</v>
      </c>
    </row>
    <row r="329" spans="1:5" x14ac:dyDescent="0.3">
      <c r="A329" s="1">
        <v>328</v>
      </c>
      <c r="B329" s="1">
        <v>0.1110155386</v>
      </c>
      <c r="C329" s="1">
        <v>0.89752813330000003</v>
      </c>
      <c r="D329" s="1">
        <v>0.38908559259999997</v>
      </c>
      <c r="E329" s="1">
        <v>0.98451449879999997</v>
      </c>
    </row>
    <row r="330" spans="1:5" x14ac:dyDescent="0.3">
      <c r="A330" s="1">
        <v>329</v>
      </c>
      <c r="B330" s="1">
        <v>9.3623297899999999E-2</v>
      </c>
      <c r="C330" s="1">
        <v>0.89910334349999999</v>
      </c>
      <c r="D330" s="1">
        <v>0.38976797219999998</v>
      </c>
      <c r="E330" s="1">
        <v>0.9844141488</v>
      </c>
    </row>
    <row r="331" spans="1:5" x14ac:dyDescent="0.3">
      <c r="A331" s="1">
        <v>330</v>
      </c>
      <c r="B331" s="1">
        <v>7.6202003399999996E-2</v>
      </c>
      <c r="C331" s="1">
        <v>0.90039958379999996</v>
      </c>
      <c r="D331" s="1">
        <v>0.3903294162</v>
      </c>
      <c r="E331" s="1">
        <v>0.98431865210000002</v>
      </c>
    </row>
    <row r="332" spans="1:5" x14ac:dyDescent="0.3">
      <c r="A332" s="1">
        <v>331</v>
      </c>
      <c r="B332" s="1">
        <v>5.8757053500000003E-2</v>
      </c>
      <c r="C332" s="1">
        <v>0.9014163704</v>
      </c>
      <c r="D332" s="1">
        <v>0.39076971529999999</v>
      </c>
      <c r="E332" s="1">
        <v>0.98422803989999996</v>
      </c>
    </row>
    <row r="333" spans="1:5" x14ac:dyDescent="0.3">
      <c r="A333" s="1">
        <v>332</v>
      </c>
      <c r="B333" s="1">
        <v>4.1293857400000002E-2</v>
      </c>
      <c r="C333" s="1">
        <v>0.90215331040000002</v>
      </c>
      <c r="D333" s="1">
        <v>0.39108869899999998</v>
      </c>
      <c r="E333" s="1">
        <v>0.98414234160000003</v>
      </c>
    </row>
    <row r="334" spans="1:5" x14ac:dyDescent="0.3">
      <c r="A334" s="1">
        <v>333</v>
      </c>
      <c r="B334" s="1">
        <v>2.3817833199999999E-2</v>
      </c>
      <c r="C334" s="1">
        <v>0.90261010149999998</v>
      </c>
      <c r="D334" s="1">
        <v>0.3912862365</v>
      </c>
      <c r="E334" s="1">
        <v>0.98406158519999998</v>
      </c>
    </row>
    <row r="335" spans="1:5" x14ac:dyDescent="0.3">
      <c r="A335" s="1">
        <v>334</v>
      </c>
      <c r="B335" s="1">
        <v>6.3344059999999999E-3</v>
      </c>
      <c r="C335" s="1">
        <v>0.90278653269999998</v>
      </c>
      <c r="D335" s="1">
        <v>0.39136223660000002</v>
      </c>
      <c r="E335" s="1">
        <v>0.98398579689999999</v>
      </c>
    </row>
    <row r="336" spans="1:5" x14ac:dyDescent="0.3">
      <c r="A336" s="1">
        <v>335</v>
      </c>
      <c r="B336" s="1">
        <v>-1.11509943E-2</v>
      </c>
      <c r="C336" s="1">
        <v>0.90268248419999997</v>
      </c>
      <c r="D336" s="1">
        <v>0.39131664729999999</v>
      </c>
      <c r="E336" s="1">
        <v>0.98391500160000001</v>
      </c>
    </row>
    <row r="337" spans="1:5" x14ac:dyDescent="0.3">
      <c r="A337" s="1">
        <v>336</v>
      </c>
      <c r="B337" s="1">
        <v>-2.86329346E-2</v>
      </c>
      <c r="C337" s="1">
        <v>0.90229792740000003</v>
      </c>
      <c r="D337" s="1">
        <v>0.3911494566</v>
      </c>
      <c r="E337" s="1">
        <v>0.98384922220000004</v>
      </c>
    </row>
    <row r="338" spans="1:5" x14ac:dyDescent="0.3">
      <c r="A338" s="1">
        <v>337</v>
      </c>
      <c r="B338" s="1">
        <v>-4.6105980599999999E-2</v>
      </c>
      <c r="C338" s="1">
        <v>0.90163292539999995</v>
      </c>
      <c r="D338" s="1">
        <v>0.39086069179999999</v>
      </c>
      <c r="E338" s="1">
        <v>0.98378848029999999</v>
      </c>
    </row>
    <row r="339" spans="1:5" x14ac:dyDescent="0.3">
      <c r="A339" s="1">
        <v>338</v>
      </c>
      <c r="B339" s="1">
        <v>-6.35646988E-2</v>
      </c>
      <c r="C339" s="1">
        <v>0.90068763269999996</v>
      </c>
      <c r="D339" s="1">
        <v>0.39045042009999997</v>
      </c>
      <c r="E339" s="1">
        <v>0.98373279570000005</v>
      </c>
    </row>
    <row r="340" spans="1:5" x14ac:dyDescent="0.3">
      <c r="A340" s="1">
        <v>339</v>
      </c>
      <c r="B340" s="1">
        <v>-8.10036586E-2</v>
      </c>
      <c r="C340" s="1">
        <v>0.89946229550000001</v>
      </c>
      <c r="D340" s="1">
        <v>0.38991874840000001</v>
      </c>
      <c r="E340" s="1">
        <v>0.98368218650000006</v>
      </c>
    </row>
    <row r="341" spans="1:5" x14ac:dyDescent="0.3">
      <c r="A341" s="1">
        <v>340</v>
      </c>
      <c r="B341" s="1">
        <v>-9.8417433900000004E-2</v>
      </c>
      <c r="C341" s="1">
        <v>0.89795725120000003</v>
      </c>
      <c r="D341" s="1">
        <v>0.38926582320000003</v>
      </c>
      <c r="E341" s="1">
        <v>0.98363666940000005</v>
      </c>
    </row>
    <row r="342" spans="1:5" x14ac:dyDescent="0.3">
      <c r="A342" s="1">
        <v>341</v>
      </c>
      <c r="B342" s="1">
        <v>-0.1158006053</v>
      </c>
      <c r="C342" s="1">
        <v>0.89617292900000001</v>
      </c>
      <c r="D342" s="1">
        <v>0.38849183050000002</v>
      </c>
      <c r="E342" s="1">
        <v>0.98359625920000004</v>
      </c>
    </row>
    <row r="343" spans="1:5" x14ac:dyDescent="0.3">
      <c r="A343" s="1">
        <v>342</v>
      </c>
      <c r="B343" s="1">
        <v>-0.133147762</v>
      </c>
      <c r="C343" s="1">
        <v>0.89410984900000001</v>
      </c>
      <c r="D343" s="1">
        <v>0.38759699600000003</v>
      </c>
      <c r="E343" s="1">
        <v>0.98356096910000002</v>
      </c>
    </row>
    <row r="344" spans="1:5" x14ac:dyDescent="0.3">
      <c r="A344" s="1">
        <v>343</v>
      </c>
      <c r="B344" s="1">
        <v>-0.15045350360000001</v>
      </c>
      <c r="C344" s="1">
        <v>0.89176862300000004</v>
      </c>
      <c r="D344" s="1">
        <v>0.38658158510000001</v>
      </c>
      <c r="E344" s="1">
        <v>0.98353081070000004</v>
      </c>
    </row>
    <row r="345" spans="1:5" x14ac:dyDescent="0.3">
      <c r="A345" s="1">
        <v>344</v>
      </c>
      <c r="B345" s="1">
        <v>-0.16771244229999999</v>
      </c>
      <c r="C345" s="1">
        <v>0.88914995330000002</v>
      </c>
      <c r="D345" s="1">
        <v>0.38544590249999999</v>
      </c>
      <c r="E345" s="1">
        <v>0.98350579390000004</v>
      </c>
    </row>
    <row r="346" spans="1:5" x14ac:dyDescent="0.3">
      <c r="A346" s="1">
        <v>345</v>
      </c>
      <c r="B346" s="1">
        <v>-0.18491920449999999</v>
      </c>
      <c r="C346" s="1">
        <v>0.88625463339999999</v>
      </c>
      <c r="D346" s="1">
        <v>0.3841902921</v>
      </c>
      <c r="E346" s="1">
        <v>0.98348592670000001</v>
      </c>
    </row>
    <row r="347" spans="1:5" x14ac:dyDescent="0.3">
      <c r="A347" s="1">
        <v>346</v>
      </c>
      <c r="B347" s="1">
        <v>-0.2020684331</v>
      </c>
      <c r="C347" s="1">
        <v>0.88308354710000003</v>
      </c>
      <c r="D347" s="1">
        <v>0.38281513740000001</v>
      </c>
      <c r="E347" s="1">
        <v>0.98347121579999996</v>
      </c>
    </row>
    <row r="348" spans="1:5" x14ac:dyDescent="0.3">
      <c r="A348" s="1">
        <v>347</v>
      </c>
      <c r="B348" s="1">
        <v>-0.21915478899999999</v>
      </c>
      <c r="C348" s="1">
        <v>0.87963766860000003</v>
      </c>
      <c r="D348" s="1">
        <v>0.38132086069999999</v>
      </c>
      <c r="E348" s="1">
        <v>0.98346166589999995</v>
      </c>
    </row>
    <row r="349" spans="1:5" x14ac:dyDescent="0.3">
      <c r="A349" s="1">
        <v>348</v>
      </c>
      <c r="B349" s="1">
        <v>-0.2361729535</v>
      </c>
      <c r="C349" s="1">
        <v>0.87591806179999998</v>
      </c>
      <c r="D349" s="1">
        <v>0.37970792349999999</v>
      </c>
      <c r="E349" s="1">
        <v>0.98345728020000001</v>
      </c>
    </row>
    <row r="350" spans="1:5" x14ac:dyDescent="0.3">
      <c r="A350" s="1">
        <v>349</v>
      </c>
      <c r="B350" s="1">
        <v>-0.25311762970000001</v>
      </c>
      <c r="C350" s="1">
        <v>0.87192588029999996</v>
      </c>
      <c r="D350" s="1">
        <v>0.37797682589999998</v>
      </c>
      <c r="E350" s="1">
        <v>0.98345806020000004</v>
      </c>
    </row>
    <row r="351" spans="1:5" x14ac:dyDescent="0.3">
      <c r="A351" s="1">
        <v>350</v>
      </c>
      <c r="B351" s="1">
        <v>-0.26998354499999999</v>
      </c>
      <c r="C351" s="1">
        <v>0.86766236689999998</v>
      </c>
      <c r="D351" s="1">
        <v>0.37612810689999998</v>
      </c>
      <c r="E351" s="1">
        <v>0.98346400560000002</v>
      </c>
    </row>
    <row r="352" spans="1:5" x14ac:dyDescent="0.3">
      <c r="A352" s="1">
        <v>351</v>
      </c>
      <c r="B352" s="1">
        <v>-0.2867654523</v>
      </c>
      <c r="C352" s="1">
        <v>0.86312885279999996</v>
      </c>
      <c r="D352" s="1">
        <v>0.3741623436</v>
      </c>
      <c r="E352" s="1">
        <v>0.98347511440000002</v>
      </c>
    </row>
    <row r="353" spans="1:5" x14ac:dyDescent="0.3">
      <c r="A353" s="1">
        <v>352</v>
      </c>
      <c r="B353" s="1">
        <v>-0.30345813230000002</v>
      </c>
      <c r="C353" s="1">
        <v>0.8583267577</v>
      </c>
      <c r="D353" s="1">
        <v>0.37208015179999998</v>
      </c>
      <c r="E353" s="1">
        <v>0.98349138300000005</v>
      </c>
    </row>
    <row r="354" spans="1:5" x14ac:dyDescent="0.3">
      <c r="A354" s="1">
        <v>353</v>
      </c>
      <c r="B354" s="1">
        <v>-0.32005639559999999</v>
      </c>
      <c r="C354" s="1">
        <v>0.85325758880000002</v>
      </c>
      <c r="D354" s="1">
        <v>0.36988218490000002</v>
      </c>
      <c r="E354" s="1">
        <v>0.98351280610000003</v>
      </c>
    </row>
    <row r="355" spans="1:5" x14ac:dyDescent="0.3">
      <c r="A355" s="1">
        <v>354</v>
      </c>
      <c r="B355" s="1">
        <v>-0.33655508379999999</v>
      </c>
      <c r="C355" s="1">
        <v>0.84792294040000005</v>
      </c>
      <c r="D355" s="1">
        <v>0.36756913419999998</v>
      </c>
      <c r="E355" s="1">
        <v>0.98353937680000003</v>
      </c>
    </row>
    <row r="356" spans="1:5" x14ac:dyDescent="0.3">
      <c r="A356" s="1">
        <v>355</v>
      </c>
      <c r="B356" s="1">
        <v>-0.35294907209999998</v>
      </c>
      <c r="C356" s="1">
        <v>0.84232449359999995</v>
      </c>
      <c r="D356" s="1">
        <v>0.36514172849999998</v>
      </c>
      <c r="E356" s="1">
        <v>0.98357108630000001</v>
      </c>
    </row>
    <row r="357" spans="1:5" x14ac:dyDescent="0.3">
      <c r="A357" s="1">
        <v>356</v>
      </c>
      <c r="B357" s="1">
        <v>-0.3692332707</v>
      </c>
      <c r="C357" s="1">
        <v>0.83646401500000001</v>
      </c>
      <c r="D357" s="1">
        <v>0.36260073390000003</v>
      </c>
      <c r="E357" s="1">
        <v>0.98360792429999999</v>
      </c>
    </row>
    <row r="358" spans="1:5" x14ac:dyDescent="0.3">
      <c r="A358" s="1">
        <v>357</v>
      </c>
      <c r="B358" s="1">
        <v>-0.38540262669999997</v>
      </c>
      <c r="C358" s="1">
        <v>0.83034335680000004</v>
      </c>
      <c r="D358" s="1">
        <v>0.35994695339999999</v>
      </c>
      <c r="E358" s="1">
        <v>0.98364987879999999</v>
      </c>
    </row>
    <row r="359" spans="1:5" x14ac:dyDescent="0.3">
      <c r="A359" s="1">
        <v>358</v>
      </c>
      <c r="B359" s="1">
        <v>-0.40145212600000002</v>
      </c>
      <c r="C359" s="1">
        <v>0.82396445539999996</v>
      </c>
      <c r="D359" s="1">
        <v>0.35718122670000002</v>
      </c>
      <c r="E359" s="1">
        <v>0.98369693609999997</v>
      </c>
    </row>
    <row r="360" spans="1:5" x14ac:dyDescent="0.3">
      <c r="A360" s="1">
        <v>359</v>
      </c>
      <c r="B360" s="1">
        <v>-0.41737679480000001</v>
      </c>
      <c r="C360" s="1">
        <v>0.81732933139999997</v>
      </c>
      <c r="D360" s="1">
        <v>0.35430442979999999</v>
      </c>
      <c r="E360" s="1">
        <v>0.9837490807</v>
      </c>
    </row>
    <row r="361" spans="1:5" x14ac:dyDescent="0.3">
      <c r="A361" s="1">
        <v>360</v>
      </c>
      <c r="B361" s="1">
        <v>-0.43317170179999998</v>
      </c>
      <c r="C361" s="1">
        <v>0.810440088</v>
      </c>
      <c r="D361" s="1">
        <v>0.3513174745</v>
      </c>
      <c r="E361" s="1">
        <v>0.9838062957</v>
      </c>
    </row>
    <row r="362" spans="1:5" x14ac:dyDescent="0.3">
      <c r="A362" s="1">
        <v>361</v>
      </c>
      <c r="B362" s="1">
        <v>-0.44883195949999999</v>
      </c>
      <c r="C362" s="1">
        <v>0.80329891099999995</v>
      </c>
      <c r="D362" s="1">
        <v>0.3482213086</v>
      </c>
      <c r="E362" s="1">
        <v>0.98386856239999998</v>
      </c>
    </row>
    <row r="363" spans="1:5" x14ac:dyDescent="0.3">
      <c r="A363" s="1">
        <v>362</v>
      </c>
      <c r="B363" s="1">
        <v>-0.46435272620000001</v>
      </c>
      <c r="C363" s="1">
        <v>0.79590806739999997</v>
      </c>
      <c r="D363" s="1">
        <v>0.34501691499999998</v>
      </c>
      <c r="E363" s="1">
        <v>0.98393586060000005</v>
      </c>
    </row>
    <row r="364" spans="1:5" x14ac:dyDescent="0.3">
      <c r="A364" s="1">
        <v>363</v>
      </c>
      <c r="B364" s="1">
        <v>-0.47972920749999998</v>
      </c>
      <c r="C364" s="1">
        <v>0.78826990470000002</v>
      </c>
      <c r="D364" s="1">
        <v>0.34170531139999999</v>
      </c>
      <c r="E364" s="1">
        <v>0.98400816820000003</v>
      </c>
    </row>
    <row r="365" spans="1:5" x14ac:dyDescent="0.3">
      <c r="A365" s="1">
        <v>364</v>
      </c>
      <c r="B365" s="1">
        <v>-0.49495665799999999</v>
      </c>
      <c r="C365" s="1">
        <v>0.78038685019999998</v>
      </c>
      <c r="D365" s="1">
        <v>0.33828755020000001</v>
      </c>
      <c r="E365" s="1">
        <v>0.98408546159999999</v>
      </c>
    </row>
    <row r="366" spans="1:5" x14ac:dyDescent="0.3">
      <c r="A366" s="1">
        <v>365</v>
      </c>
      <c r="B366" s="1">
        <v>-0.51003038329999995</v>
      </c>
      <c r="C366" s="1">
        <v>0.7722614096</v>
      </c>
      <c r="D366" s="1">
        <v>0.3347647178</v>
      </c>
      <c r="E366" s="1">
        <v>0.98416771579999995</v>
      </c>
    </row>
    <row r="367" spans="1:5" x14ac:dyDescent="0.3">
      <c r="A367" s="1">
        <v>366</v>
      </c>
      <c r="B367" s="1">
        <v>-0.52494574100000002</v>
      </c>
      <c r="C367" s="1">
        <v>0.76389616660000004</v>
      </c>
      <c r="D367" s="1">
        <v>0.33113793429999999</v>
      </c>
      <c r="E367" s="1">
        <v>0.98425490390000003</v>
      </c>
    </row>
    <row r="368" spans="1:5" x14ac:dyDescent="0.3">
      <c r="A368" s="1">
        <v>367</v>
      </c>
      <c r="B368" s="1">
        <v>-0.53969814289999996</v>
      </c>
      <c r="C368" s="1">
        <v>0.75529378150000004</v>
      </c>
      <c r="D368" s="1">
        <v>0.3274083532</v>
      </c>
      <c r="E368" s="1">
        <v>0.98434699749999999</v>
      </c>
    </row>
    <row r="369" spans="1:5" x14ac:dyDescent="0.3">
      <c r="A369" s="1">
        <v>368</v>
      </c>
      <c r="B369" s="1">
        <v>-0.55428305609999995</v>
      </c>
      <c r="C369" s="1">
        <v>0.74645699040000002</v>
      </c>
      <c r="D369" s="1">
        <v>0.32357716060000002</v>
      </c>
      <c r="E369" s="1">
        <v>0.98444396670000001</v>
      </c>
    </row>
    <row r="370" spans="1:5" x14ac:dyDescent="0.3">
      <c r="A370" s="1">
        <v>369</v>
      </c>
      <c r="B370" s="1">
        <v>-0.56869600499999995</v>
      </c>
      <c r="C370" s="1">
        <v>0.73738860390000005</v>
      </c>
      <c r="D370" s="1">
        <v>0.31964557519999998</v>
      </c>
      <c r="E370" s="1">
        <v>0.98454578000000004</v>
      </c>
    </row>
    <row r="371" spans="1:5" x14ac:dyDescent="0.3">
      <c r="A371" s="1">
        <v>370</v>
      </c>
      <c r="B371" s="1">
        <v>-0.58293257229999995</v>
      </c>
      <c r="C371" s="1">
        <v>0.72809150629999997</v>
      </c>
      <c r="D371" s="1">
        <v>0.3156148473</v>
      </c>
      <c r="E371" s="1">
        <v>0.9846524042</v>
      </c>
    </row>
    <row r="372" spans="1:5" x14ac:dyDescent="0.3">
      <c r="A372" s="1">
        <v>371</v>
      </c>
      <c r="B372" s="1">
        <v>-0.59698840090000005</v>
      </c>
      <c r="C372" s="1">
        <v>0.71856865420000005</v>
      </c>
      <c r="D372" s="1">
        <v>0.31148625880000003</v>
      </c>
      <c r="E372" s="1">
        <v>0.98476380470000002</v>
      </c>
    </row>
    <row r="373" spans="1:5" x14ac:dyDescent="0.3">
      <c r="A373" s="1">
        <v>372</v>
      </c>
      <c r="B373" s="1">
        <v>-0.61085919550000001</v>
      </c>
      <c r="C373" s="1">
        <v>0.70882307580000004</v>
      </c>
      <c r="D373" s="1">
        <v>0.30726112259999999</v>
      </c>
      <c r="E373" s="1">
        <v>0.98487994540000001</v>
      </c>
    </row>
    <row r="374" spans="1:5" x14ac:dyDescent="0.3">
      <c r="A374" s="1">
        <v>373</v>
      </c>
      <c r="B374" s="1">
        <v>-0.6245407234</v>
      </c>
      <c r="C374" s="1">
        <v>0.69885786910000003</v>
      </c>
      <c r="D374" s="1">
        <v>0.30294078169999999</v>
      </c>
      <c r="E374" s="1">
        <v>0.98500078859999995</v>
      </c>
    </row>
    <row r="375" spans="1:5" x14ac:dyDescent="0.3">
      <c r="A375" s="1">
        <v>374</v>
      </c>
      <c r="B375" s="1">
        <v>-0.63802881649999998</v>
      </c>
      <c r="C375" s="1">
        <v>0.68867620129999996</v>
      </c>
      <c r="D375" s="1">
        <v>0.29852660939999998</v>
      </c>
      <c r="E375" s="1">
        <v>0.98512629519999995</v>
      </c>
    </row>
    <row r="376" spans="1:5" x14ac:dyDescent="0.3">
      <c r="A376" s="1">
        <v>375</v>
      </c>
      <c r="B376" s="1">
        <v>-0.65131937240000004</v>
      </c>
      <c r="C376" s="1">
        <v>0.67828130740000003</v>
      </c>
      <c r="D376" s="1">
        <v>0.294020008</v>
      </c>
      <c r="E376" s="1">
        <v>0.98525642440000005</v>
      </c>
    </row>
    <row r="377" spans="1:5" x14ac:dyDescent="0.3">
      <c r="A377" s="1">
        <v>376</v>
      </c>
      <c r="B377" s="1">
        <v>-0.66440835580000002</v>
      </c>
      <c r="C377" s="1">
        <v>0.66767648859999995</v>
      </c>
      <c r="D377" s="1">
        <v>0.28942240870000002</v>
      </c>
      <c r="E377" s="1">
        <v>0.98539113420000002</v>
      </c>
    </row>
    <row r="378" spans="1:5" x14ac:dyDescent="0.3">
      <c r="A378" s="1">
        <v>377</v>
      </c>
      <c r="B378" s="1">
        <v>-0.6772918</v>
      </c>
      <c r="C378" s="1">
        <v>0.65686511150000004</v>
      </c>
      <c r="D378" s="1">
        <v>0.28473527129999998</v>
      </c>
      <c r="E378" s="1">
        <v>0.98553038100000001</v>
      </c>
    </row>
    <row r="379" spans="1:5" x14ac:dyDescent="0.3">
      <c r="A379" s="1">
        <v>378</v>
      </c>
      <c r="B379" s="1">
        <v>-0.68996580789999995</v>
      </c>
      <c r="C379" s="1">
        <v>0.64585060679999995</v>
      </c>
      <c r="D379" s="1">
        <v>0.27996008290000002</v>
      </c>
      <c r="E379" s="1">
        <v>0.98567411979999997</v>
      </c>
    </row>
    <row r="380" spans="1:5" x14ac:dyDescent="0.3">
      <c r="A380" s="1">
        <v>379</v>
      </c>
      <c r="B380" s="1">
        <v>-0.70242655330000003</v>
      </c>
      <c r="C380" s="1">
        <v>0.63463646770000004</v>
      </c>
      <c r="D380" s="1">
        <v>0.27509835789999998</v>
      </c>
      <c r="E380" s="1">
        <v>0.98582230420000005</v>
      </c>
    </row>
    <row r="381" spans="1:5" x14ac:dyDescent="0.3">
      <c r="A381" s="1">
        <v>380</v>
      </c>
      <c r="B381" s="1">
        <v>-0.71467028229999996</v>
      </c>
      <c r="C381" s="1">
        <v>0.62322624869999999</v>
      </c>
      <c r="D381" s="1">
        <v>0.27015163739999998</v>
      </c>
      <c r="E381" s="1">
        <v>0.98597488639999997</v>
      </c>
    </row>
    <row r="382" spans="1:5" x14ac:dyDescent="0.3">
      <c r="A382" s="1">
        <v>381</v>
      </c>
      <c r="B382" s="1">
        <v>-0.72669331429999995</v>
      </c>
      <c r="C382" s="1">
        <v>0.61162356419999997</v>
      </c>
      <c r="D382" s="1">
        <v>0.26512148839999999</v>
      </c>
      <c r="E382" s="1">
        <v>0.98613181729999999</v>
      </c>
    </row>
    <row r="383" spans="1:5" x14ac:dyDescent="0.3">
      <c r="A383" s="1">
        <v>382</v>
      </c>
      <c r="B383" s="1">
        <v>-0.73849204339999996</v>
      </c>
      <c r="C383" s="1">
        <v>0.59983208740000005</v>
      </c>
      <c r="D383" s="1">
        <v>0.26000950319999999</v>
      </c>
      <c r="E383" s="1">
        <v>0.98629304620000002</v>
      </c>
    </row>
    <row r="384" spans="1:5" x14ac:dyDescent="0.3">
      <c r="A384" s="1">
        <v>383</v>
      </c>
      <c r="B384" s="1">
        <v>-0.75006293909999999</v>
      </c>
      <c r="C384" s="1">
        <v>0.58785554849999999</v>
      </c>
      <c r="D384" s="1">
        <v>0.25481729910000001</v>
      </c>
      <c r="E384" s="1">
        <v>0.98645852140000001</v>
      </c>
    </row>
    <row r="385" spans="1:5" x14ac:dyDescent="0.3">
      <c r="A385" s="1">
        <v>384</v>
      </c>
      <c r="B385" s="1">
        <v>-0.76140254780000005</v>
      </c>
      <c r="C385" s="1">
        <v>0.57569773349999998</v>
      </c>
      <c r="D385" s="1">
        <v>0.2495465174</v>
      </c>
      <c r="E385" s="1">
        <v>0.98662818959999998</v>
      </c>
    </row>
    <row r="386" spans="1:5" x14ac:dyDescent="0.3">
      <c r="A386" s="1">
        <v>385</v>
      </c>
      <c r="B386" s="1">
        <v>-0.77250749370000005</v>
      </c>
      <c r="C386" s="1">
        <v>0.56336248290000002</v>
      </c>
      <c r="D386" s="1">
        <v>0.24419882309999999</v>
      </c>
      <c r="E386" s="1">
        <v>0.98680199639999999</v>
      </c>
    </row>
    <row r="387" spans="1:5" x14ac:dyDescent="0.3">
      <c r="A387" s="1">
        <v>386</v>
      </c>
      <c r="B387" s="1">
        <v>-0.78337447969999996</v>
      </c>
      <c r="C387" s="1">
        <v>0.55085368999999995</v>
      </c>
      <c r="D387" s="1">
        <v>0.2387759039</v>
      </c>
      <c r="E387" s="1">
        <v>0.98697988609999998</v>
      </c>
    </row>
    <row r="388" spans="1:5" x14ac:dyDescent="0.3">
      <c r="A388" s="1">
        <v>387</v>
      </c>
      <c r="B388" s="1">
        <v>-0.79400028850000004</v>
      </c>
      <c r="C388" s="1">
        <v>0.5381752997</v>
      </c>
      <c r="D388" s="1">
        <v>0.2332794701</v>
      </c>
      <c r="E388" s="1">
        <v>0.9871618016</v>
      </c>
    </row>
    <row r="389" spans="1:5" x14ac:dyDescent="0.3">
      <c r="A389" s="1">
        <v>388</v>
      </c>
      <c r="B389" s="1">
        <v>-0.80438178360000001</v>
      </c>
      <c r="C389" s="1">
        <v>0.52533130660000005</v>
      </c>
      <c r="D389" s="1">
        <v>0.2277112536</v>
      </c>
      <c r="E389" s="1">
        <v>0.98734768470000001</v>
      </c>
    </row>
    <row r="390" spans="1:5" x14ac:dyDescent="0.3">
      <c r="A390" s="1">
        <v>389</v>
      </c>
      <c r="B390" s="1">
        <v>-0.81451591010000002</v>
      </c>
      <c r="C390" s="1">
        <v>0.51232575420000004</v>
      </c>
      <c r="D390" s="1">
        <v>0.22207300720000001</v>
      </c>
      <c r="E390" s="1">
        <v>0.98753747609999998</v>
      </c>
    </row>
    <row r="391" spans="1:5" x14ac:dyDescent="0.3">
      <c r="A391" s="1">
        <v>390</v>
      </c>
      <c r="B391" s="1">
        <v>-0.82439969540000002</v>
      </c>
      <c r="C391" s="1">
        <v>0.49916273259999999</v>
      </c>
      <c r="D391" s="1">
        <v>0.2163665042</v>
      </c>
      <c r="E391" s="1">
        <v>0.98773111499999999</v>
      </c>
    </row>
    <row r="392" spans="1:5" x14ac:dyDescent="0.3">
      <c r="A392" s="1">
        <v>391</v>
      </c>
      <c r="B392" s="1">
        <v>-0.83403025060000002</v>
      </c>
      <c r="C392" s="1">
        <v>0.48584637780000001</v>
      </c>
      <c r="D392" s="1">
        <v>0.21059353750000001</v>
      </c>
      <c r="E392" s="1">
        <v>0.98792853979999995</v>
      </c>
    </row>
    <row r="393" spans="1:5" x14ac:dyDescent="0.3">
      <c r="A393" s="1">
        <v>392</v>
      </c>
      <c r="B393" s="1">
        <v>-0.84340477059999996</v>
      </c>
      <c r="C393" s="1">
        <v>0.47238086950000002</v>
      </c>
      <c r="D393" s="1">
        <v>0.20475591909999999</v>
      </c>
      <c r="E393" s="1">
        <v>0.98812968749999996</v>
      </c>
    </row>
    <row r="394" spans="1:5" x14ac:dyDescent="0.3">
      <c r="A394" s="1">
        <v>393</v>
      </c>
      <c r="B394" s="1">
        <v>-0.85252053549999995</v>
      </c>
      <c r="C394" s="1">
        <v>0.45877042979999999</v>
      </c>
      <c r="D394" s="1">
        <v>0.19885547949999999</v>
      </c>
      <c r="E394" s="1">
        <v>0.98833449419999997</v>
      </c>
    </row>
    <row r="395" spans="1:5" x14ac:dyDescent="0.3">
      <c r="A395" s="1">
        <v>394</v>
      </c>
      <c r="B395" s="1">
        <v>-0.86137491070000005</v>
      </c>
      <c r="C395" s="1">
        <v>0.44501932189999999</v>
      </c>
      <c r="D395" s="1">
        <v>0.19289406689999999</v>
      </c>
      <c r="E395" s="1">
        <v>0.98854289470000001</v>
      </c>
    </row>
    <row r="396" spans="1:5" x14ac:dyDescent="0.3">
      <c r="A396" s="1">
        <v>395</v>
      </c>
      <c r="B396" s="1">
        <v>-0.86996534810000004</v>
      </c>
      <c r="C396" s="1">
        <v>0.43113184830000001</v>
      </c>
      <c r="D396" s="1">
        <v>0.1868735463</v>
      </c>
      <c r="E396" s="1">
        <v>0.98875482290000005</v>
      </c>
    </row>
    <row r="397" spans="1:5" x14ac:dyDescent="0.3">
      <c r="A397" s="1">
        <v>396</v>
      </c>
      <c r="B397" s="1">
        <v>-0.8782893866</v>
      </c>
      <c r="C397" s="1">
        <v>0.41711234899999999</v>
      </c>
      <c r="D397" s="1">
        <v>0.18079579949999999</v>
      </c>
      <c r="E397" s="1">
        <v>0.98897021159999998</v>
      </c>
    </row>
    <row r="398" spans="1:5" x14ac:dyDescent="0.3">
      <c r="A398" s="1">
        <v>397</v>
      </c>
      <c r="B398" s="1">
        <v>-0.88634465259999995</v>
      </c>
      <c r="C398" s="1">
        <v>0.40296520060000002</v>
      </c>
      <c r="D398" s="1">
        <v>0.17466272350000001</v>
      </c>
      <c r="E398" s="1">
        <v>0.98918899260000004</v>
      </c>
    </row>
    <row r="399" spans="1:5" x14ac:dyDescent="0.3">
      <c r="A399" s="1">
        <v>398</v>
      </c>
      <c r="B399" s="1">
        <v>-0.89412886059999996</v>
      </c>
      <c r="C399" s="1">
        <v>0.38869481410000001</v>
      </c>
      <c r="D399" s="1">
        <v>0.1684762309</v>
      </c>
      <c r="E399" s="1">
        <v>0.98941109670000005</v>
      </c>
    </row>
    <row r="400" spans="1:5" x14ac:dyDescent="0.3">
      <c r="A400" s="1">
        <v>399</v>
      </c>
      <c r="B400" s="1">
        <v>-0.90163981400000004</v>
      </c>
      <c r="C400" s="1">
        <v>0.37430563369999997</v>
      </c>
      <c r="D400" s="1">
        <v>0.162238248</v>
      </c>
      <c r="E400" s="1">
        <v>0.98963645379999998</v>
      </c>
    </row>
    <row r="401" spans="1:5" x14ac:dyDescent="0.3">
      <c r="A401" s="1">
        <v>400</v>
      </c>
      <c r="B401" s="1">
        <v>-0.90887540519999999</v>
      </c>
      <c r="C401" s="1">
        <v>0.35980213480000001</v>
      </c>
      <c r="D401" s="1">
        <v>0.15595071520000001</v>
      </c>
      <c r="E401" s="1">
        <v>0.98986499279999995</v>
      </c>
    </row>
    <row r="402" spans="1:5" x14ac:dyDescent="0.3">
      <c r="A402" s="1">
        <v>401</v>
      </c>
      <c r="B402" s="1">
        <v>-0.91583361640000005</v>
      </c>
      <c r="C402" s="1">
        <v>0.34518882309999999</v>
      </c>
      <c r="D402" s="1">
        <v>0.1496155857</v>
      </c>
      <c r="E402" s="1">
        <v>0.9900966417</v>
      </c>
    </row>
    <row r="403" spans="1:5" x14ac:dyDescent="0.3">
      <c r="A403" s="1">
        <v>402</v>
      </c>
      <c r="B403" s="1">
        <v>-0.92251251990000005</v>
      </c>
      <c r="C403" s="1">
        <v>0.33047023219999999</v>
      </c>
      <c r="D403" s="1">
        <v>0.14323482500000001</v>
      </c>
      <c r="E403" s="1">
        <v>0.99033132779999999</v>
      </c>
    </row>
    <row r="404" spans="1:5" x14ac:dyDescent="0.3">
      <c r="A404" s="1">
        <v>403</v>
      </c>
      <c r="B404" s="1">
        <v>-0.92891027839999996</v>
      </c>
      <c r="C404" s="1">
        <v>0.31565092259999999</v>
      </c>
      <c r="D404" s="1">
        <v>0.13681040999999999</v>
      </c>
      <c r="E404" s="1">
        <v>0.99056897710000003</v>
      </c>
    </row>
    <row r="405" spans="1:5" x14ac:dyDescent="0.3">
      <c r="A405" s="1">
        <v>404</v>
      </c>
      <c r="B405" s="1">
        <v>-0.93502514560000005</v>
      </c>
      <c r="C405" s="1">
        <v>0.30073547989999999</v>
      </c>
      <c r="D405" s="1">
        <v>0.1303443286</v>
      </c>
      <c r="E405" s="1">
        <v>0.99080951539999995</v>
      </c>
    </row>
    <row r="406" spans="1:5" x14ac:dyDescent="0.3">
      <c r="A406" s="1">
        <v>405</v>
      </c>
      <c r="B406" s="1">
        <v>-0.94085546630000005</v>
      </c>
      <c r="C406" s="1">
        <v>0.28572851310000003</v>
      </c>
      <c r="D406" s="1">
        <v>0.1238385791</v>
      </c>
      <c r="E406" s="1">
        <v>0.99105286709999996</v>
      </c>
    </row>
    <row r="407" spans="1:5" x14ac:dyDescent="0.3">
      <c r="A407" s="1">
        <v>406</v>
      </c>
      <c r="B407" s="1">
        <v>-0.94639967680000003</v>
      </c>
      <c r="C407" s="1">
        <v>0.27063465320000002</v>
      </c>
      <c r="D407" s="1">
        <v>0.1172951689</v>
      </c>
      <c r="E407" s="1">
        <v>0.99129895619999997</v>
      </c>
    </row>
    <row r="408" spans="1:5" x14ac:dyDescent="0.3">
      <c r="A408" s="1">
        <v>407</v>
      </c>
      <c r="B408" s="1">
        <v>-0.9516563053</v>
      </c>
      <c r="C408" s="1">
        <v>0.25545855150000002</v>
      </c>
      <c r="D408" s="1">
        <v>0.1107161145</v>
      </c>
      <c r="E408" s="1">
        <v>0.99154770579999996</v>
      </c>
    </row>
    <row r="409" spans="1:5" x14ac:dyDescent="0.3">
      <c r="A409" s="1">
        <v>408</v>
      </c>
      <c r="B409" s="1">
        <v>-0.95662397160000001</v>
      </c>
      <c r="C409" s="1">
        <v>0.24020487800000001</v>
      </c>
      <c r="D409" s="1">
        <v>0.1041034403</v>
      </c>
      <c r="E409" s="1">
        <v>0.99179903849999995</v>
      </c>
    </row>
    <row r="410" spans="1:5" x14ac:dyDescent="0.3">
      <c r="A410" s="1">
        <v>409</v>
      </c>
      <c r="B410" s="1">
        <v>-0.96130138789999997</v>
      </c>
      <c r="C410" s="1">
        <v>0.2248783197</v>
      </c>
      <c r="D410" s="1">
        <v>9.7459178300000004E-2</v>
      </c>
      <c r="E410" s="1">
        <v>0.99205287590000002</v>
      </c>
    </row>
    <row r="411" spans="1:5" x14ac:dyDescent="0.3">
      <c r="A411" s="1">
        <v>410</v>
      </c>
      <c r="B411" s="1">
        <v>-0.96568735859999999</v>
      </c>
      <c r="C411" s="1">
        <v>0.2094835793</v>
      </c>
      <c r="D411" s="1">
        <v>9.07853671E-2</v>
      </c>
      <c r="E411" s="1">
        <v>0.99230913909999996</v>
      </c>
    </row>
    <row r="412" spans="1:5" x14ac:dyDescent="0.3">
      <c r="A412" s="1">
        <v>411</v>
      </c>
      <c r="B412" s="1">
        <v>-0.96978078050000005</v>
      </c>
      <c r="C412" s="1">
        <v>0.19402537349999999</v>
      </c>
      <c r="D412" s="1">
        <v>8.4084051399999998E-2</v>
      </c>
      <c r="E412" s="1">
        <v>0.99256774859999997</v>
      </c>
    </row>
    <row r="413" spans="1:5" x14ac:dyDescent="0.3">
      <c r="A413" s="1">
        <v>412</v>
      </c>
      <c r="B413" s="1">
        <v>-0.97358064280000001</v>
      </c>
      <c r="C413" s="1">
        <v>0.178508431</v>
      </c>
      <c r="D413" s="1">
        <v>7.7357281299999997E-2</v>
      </c>
      <c r="E413" s="1">
        <v>0.99282862419999995</v>
      </c>
    </row>
    <row r="414" spans="1:5" x14ac:dyDescent="0.3">
      <c r="A414" s="1">
        <v>413</v>
      </c>
      <c r="B414" s="1">
        <v>-0.97708602739999995</v>
      </c>
      <c r="C414" s="1">
        <v>0.1629374918</v>
      </c>
      <c r="D414" s="1">
        <v>7.06071115E-2</v>
      </c>
      <c r="E414" s="1">
        <v>0.99309168520000002</v>
      </c>
    </row>
    <row r="415" spans="1:5" x14ac:dyDescent="0.3">
      <c r="A415" s="1">
        <v>414</v>
      </c>
      <c r="B415" s="1">
        <v>-0.98029610840000003</v>
      </c>
      <c r="C415" s="1">
        <v>0.1473173046</v>
      </c>
      <c r="D415" s="1">
        <v>6.38356006E-2</v>
      </c>
      <c r="E415" s="1">
        <v>0.99335685039999999</v>
      </c>
    </row>
    <row r="416" spans="1:5" x14ac:dyDescent="0.3">
      <c r="A416" s="1">
        <v>415</v>
      </c>
      <c r="B416" s="1">
        <v>-0.98321015270000001</v>
      </c>
      <c r="C416" s="1">
        <v>0.13165262599999999</v>
      </c>
      <c r="D416" s="1">
        <v>5.7044810699999997E-2</v>
      </c>
      <c r="E416" s="1">
        <v>0.99362403789999998</v>
      </c>
    </row>
    <row r="417" spans="1:5" x14ac:dyDescent="0.3">
      <c r="A417" s="1">
        <v>416</v>
      </c>
      <c r="B417" s="1">
        <v>-0.98582751960000004</v>
      </c>
      <c r="C417" s="1">
        <v>0.1159482188</v>
      </c>
      <c r="D417" s="1">
        <v>5.02368064E-2</v>
      </c>
      <c r="E417" s="1">
        <v>0.99389316549999995</v>
      </c>
    </row>
    <row r="418" spans="1:5" x14ac:dyDescent="0.3">
      <c r="A418" s="1">
        <v>417</v>
      </c>
      <c r="B418" s="1">
        <v>-0.98814766050000002</v>
      </c>
      <c r="C418" s="1">
        <v>0.1002088501</v>
      </c>
      <c r="D418" s="1">
        <v>4.3413654400000001E-2</v>
      </c>
      <c r="E418" s="1">
        <v>0.99416415039999995</v>
      </c>
    </row>
    <row r="419" spans="1:5" x14ac:dyDescent="0.3">
      <c r="A419" s="1">
        <v>418</v>
      </c>
      <c r="B419" s="1">
        <v>-0.99017011939999999</v>
      </c>
      <c r="C419" s="1">
        <v>8.443929E-2</v>
      </c>
      <c r="D419" s="1">
        <v>3.6577422599999999E-2</v>
      </c>
      <c r="E419" s="1">
        <v>0.99443690939999996</v>
      </c>
    </row>
    <row r="420" spans="1:5" x14ac:dyDescent="0.3">
      <c r="A420" s="1">
        <v>419</v>
      </c>
      <c r="B420" s="1">
        <v>-0.9918945321</v>
      </c>
      <c r="C420" s="1">
        <v>6.8644310299999997E-2</v>
      </c>
      <c r="D420" s="1">
        <v>2.9730179400000001E-2</v>
      </c>
      <c r="E420" s="1">
        <v>0.99471135899999996</v>
      </c>
    </row>
    <row r="421" spans="1:5" x14ac:dyDescent="0.3">
      <c r="A421" s="1">
        <v>420</v>
      </c>
      <c r="B421" s="1">
        <v>-0.99332062639999996</v>
      </c>
      <c r="C421" s="1">
        <v>5.28286824E-2</v>
      </c>
      <c r="D421" s="1">
        <v>2.2873993499999998E-2</v>
      </c>
      <c r="E421" s="1">
        <v>0.99498741509999999</v>
      </c>
    </row>
    <row r="422" spans="1:5" x14ac:dyDescent="0.3">
      <c r="A422" s="1">
        <v>421</v>
      </c>
      <c r="B422" s="1">
        <v>-0.99444822190000004</v>
      </c>
      <c r="C422" s="1">
        <v>3.6997176200000002E-2</v>
      </c>
      <c r="D422" s="1">
        <v>1.6010932499999998E-2</v>
      </c>
      <c r="E422" s="1">
        <v>0.99526499339999996</v>
      </c>
    </row>
    <row r="423" spans="1:5" x14ac:dyDescent="0.3">
      <c r="A423" s="1">
        <v>422</v>
      </c>
      <c r="B423" s="1">
        <v>-0.99527722949999997</v>
      </c>
      <c r="C423" s="1">
        <v>2.1154558699999999E-2</v>
      </c>
      <c r="D423" s="1">
        <v>9.1430629000000003E-3</v>
      </c>
      <c r="E423" s="1">
        <v>0.99554400929999998</v>
      </c>
    </row>
    <row r="424" spans="1:5" x14ac:dyDescent="0.3">
      <c r="A424" s="1">
        <v>423</v>
      </c>
      <c r="B424" s="1">
        <v>-0.99580765120000003</v>
      </c>
      <c r="C424" s="1">
        <v>5.3055921000000001E-3</v>
      </c>
      <c r="D424" s="1">
        <v>2.2724491999999998E-3</v>
      </c>
      <c r="E424" s="1">
        <v>0.99582437779999999</v>
      </c>
    </row>
    <row r="425" spans="1:5" x14ac:dyDescent="0.3">
      <c r="A425" s="1">
        <v>424</v>
      </c>
      <c r="B425" s="1">
        <v>-0.99603958000000004</v>
      </c>
      <c r="C425" s="1">
        <v>-1.05449675E-2</v>
      </c>
      <c r="D425" s="1">
        <v>-4.5988467E-3</v>
      </c>
      <c r="E425" s="1">
        <v>0.99610601369999996</v>
      </c>
    </row>
    <row r="426" spans="1:5" x14ac:dyDescent="0.3">
      <c r="A426" s="1">
        <v>425</v>
      </c>
      <c r="B426" s="1">
        <v>-0.99597319939999995</v>
      </c>
      <c r="C426" s="1">
        <v>-2.63923714E-2</v>
      </c>
      <c r="D426" s="1">
        <v>-1.14687665E-2</v>
      </c>
      <c r="E426" s="1">
        <v>0.99638883160000002</v>
      </c>
    </row>
    <row r="427" spans="1:5" x14ac:dyDescent="0.3">
      <c r="A427" s="1">
        <v>426</v>
      </c>
      <c r="B427" s="1">
        <v>-0.995608783</v>
      </c>
      <c r="C427" s="1">
        <v>-4.2231880100000001E-2</v>
      </c>
      <c r="D427" s="1">
        <v>-1.8335255299999999E-2</v>
      </c>
      <c r="E427" s="1">
        <v>0.99667274579999998</v>
      </c>
    </row>
    <row r="428" spans="1:5" x14ac:dyDescent="0.3">
      <c r="A428" s="1">
        <v>427</v>
      </c>
      <c r="B428" s="1">
        <v>-0.99494669440000005</v>
      </c>
      <c r="C428" s="1">
        <v>-5.8058764399999997E-2</v>
      </c>
      <c r="D428" s="1">
        <v>-2.5196263199999999E-2</v>
      </c>
      <c r="E428" s="1">
        <v>0.99695767030000004</v>
      </c>
    </row>
    <row r="429" spans="1:5" x14ac:dyDescent="0.3">
      <c r="A429" s="1">
        <v>428</v>
      </c>
      <c r="B429" s="1">
        <v>-0.99398738610000004</v>
      </c>
      <c r="C429" s="1">
        <v>-7.3868307100000002E-2</v>
      </c>
      <c r="D429" s="1">
        <v>-3.20497452E-2</v>
      </c>
      <c r="E429" s="1">
        <v>0.99724351929999999</v>
      </c>
    </row>
    <row r="430" spans="1:5" x14ac:dyDescent="0.3">
      <c r="A430" s="1">
        <v>429</v>
      </c>
      <c r="B430" s="1">
        <v>-0.99273140010000005</v>
      </c>
      <c r="C430" s="1">
        <v>-8.9655804199999994E-2</v>
      </c>
      <c r="D430" s="1">
        <v>-3.8893662199999998E-2</v>
      </c>
      <c r="E430" s="1">
        <v>0.99753020650000002</v>
      </c>
    </row>
    <row r="431" spans="1:5" x14ac:dyDescent="0.3">
      <c r="A431" s="1">
        <v>430</v>
      </c>
      <c r="B431" s="1">
        <v>-0.99117936630000003</v>
      </c>
      <c r="C431" s="1">
        <v>-0.10541656670000001</v>
      </c>
      <c r="D431" s="1">
        <v>-4.5725981300000003E-2</v>
      </c>
      <c r="E431" s="1">
        <v>0.99781764569999998</v>
      </c>
    </row>
    <row r="432" spans="1:5" x14ac:dyDescent="0.3">
      <c r="A432" s="1">
        <v>431</v>
      </c>
      <c r="B432" s="1">
        <v>-0.98933200290000001</v>
      </c>
      <c r="C432" s="1">
        <v>-0.1211459215</v>
      </c>
      <c r="D432" s="1">
        <v>-5.2544676899999997E-2</v>
      </c>
      <c r="E432" s="1">
        <v>0.99810575050000006</v>
      </c>
    </row>
    <row r="433" spans="1:5" x14ac:dyDescent="0.3">
      <c r="A433" s="1">
        <v>432</v>
      </c>
      <c r="B433" s="1">
        <v>-0.98719011540000001</v>
      </c>
      <c r="C433" s="1">
        <v>-0.13683921299999999</v>
      </c>
      <c r="D433" s="1">
        <v>-5.9347730799999998E-2</v>
      </c>
      <c r="E433" s="1">
        <v>0.9983944347</v>
      </c>
    </row>
    <row r="434" spans="1:5" x14ac:dyDescent="0.3">
      <c r="A434" s="1">
        <v>433</v>
      </c>
      <c r="B434" s="1">
        <v>-0.98475459610000005</v>
      </c>
      <c r="C434" s="1">
        <v>-0.15249180449999999</v>
      </c>
      <c r="D434" s="1">
        <v>-6.6133132900000002E-2</v>
      </c>
      <c r="E434" s="1">
        <v>0.99868361169999997</v>
      </c>
    </row>
    <row r="435" spans="1:5" x14ac:dyDescent="0.3">
      <c r="A435" s="1">
        <v>434</v>
      </c>
      <c r="B435" s="1">
        <v>-0.98202642380000005</v>
      </c>
      <c r="C435" s="1">
        <v>-0.16809907960000001</v>
      </c>
      <c r="D435" s="1">
        <v>-7.2898882100000006E-2</v>
      </c>
      <c r="E435" s="1">
        <v>0.99897319520000005</v>
      </c>
    </row>
    <row r="436" spans="1:5" x14ac:dyDescent="0.3">
      <c r="A436" s="1">
        <v>435</v>
      </c>
      <c r="B436" s="1">
        <v>-0.97900666290000005</v>
      </c>
      <c r="C436" s="1">
        <v>-0.18365644349999999</v>
      </c>
      <c r="D436" s="1">
        <v>-7.9642986400000004E-2</v>
      </c>
      <c r="E436" s="1">
        <v>0.99926309879999997</v>
      </c>
    </row>
    <row r="437" spans="1:5" x14ac:dyDescent="0.3">
      <c r="A437" s="1">
        <v>436</v>
      </c>
      <c r="B437" s="1">
        <v>-0.97569646290000001</v>
      </c>
      <c r="C437" s="1">
        <v>-0.19915932389999999</v>
      </c>
      <c r="D437" s="1">
        <v>-8.6363463900000007E-2</v>
      </c>
      <c r="E437" s="1">
        <v>0.99955323610000002</v>
      </c>
    </row>
    <row r="438" spans="1:5" x14ac:dyDescent="0.3">
      <c r="A438" s="1">
        <v>437</v>
      </c>
      <c r="B438" s="1">
        <v>-0.97209705759999998</v>
      </c>
      <c r="C438" s="1">
        <v>-0.21460317309999999</v>
      </c>
      <c r="D438" s="1">
        <v>-9.3058343099999996E-2</v>
      </c>
      <c r="E438" s="1">
        <v>0.99984352099999996</v>
      </c>
    </row>
    <row r="439" spans="1:5" x14ac:dyDescent="0.3">
      <c r="A439" s="1">
        <v>438</v>
      </c>
      <c r="B439" s="1">
        <v>-0.96820976489999999</v>
      </c>
      <c r="C439" s="1">
        <v>-0.2299834687</v>
      </c>
      <c r="D439" s="1">
        <v>-9.9725663500000006E-2</v>
      </c>
      <c r="E439" s="1">
        <v>1.0001338673</v>
      </c>
    </row>
    <row r="440" spans="1:5" x14ac:dyDescent="0.3">
      <c r="A440" s="1">
        <v>439</v>
      </c>
      <c r="B440" s="1">
        <v>-0.96403598540000002</v>
      </c>
      <c r="C440" s="1">
        <v>-0.24529571480000001</v>
      </c>
      <c r="D440" s="1">
        <v>-0.1063634763</v>
      </c>
      <c r="E440" s="1">
        <v>1.0004241890000001</v>
      </c>
    </row>
    <row r="441" spans="1:5" x14ac:dyDescent="0.3">
      <c r="A441" s="1">
        <v>440</v>
      </c>
      <c r="B441" s="1">
        <v>-0.9595772025</v>
      </c>
      <c r="C441" s="1">
        <v>-0.2605354439</v>
      </c>
      <c r="D441" s="1">
        <v>-0.1129698447</v>
      </c>
      <c r="E441" s="1">
        <v>1.0007144001999999</v>
      </c>
    </row>
    <row r="442" spans="1:5" x14ac:dyDescent="0.3">
      <c r="A442" s="1">
        <v>441</v>
      </c>
      <c r="B442" s="1">
        <v>-0.95483498089999996</v>
      </c>
      <c r="C442" s="1">
        <v>-0.2756982174</v>
      </c>
      <c r="D442" s="1">
        <v>-0.1195428446</v>
      </c>
      <c r="E442" s="1">
        <v>1.0010044154</v>
      </c>
    </row>
    <row r="443" spans="1:5" x14ac:dyDescent="0.3">
      <c r="A443" s="1">
        <v>442</v>
      </c>
      <c r="B443" s="1">
        <v>-0.94981096659999997</v>
      </c>
      <c r="C443" s="1">
        <v>-0.29077962709999999</v>
      </c>
      <c r="D443" s="1">
        <v>-0.12608056519999999</v>
      </c>
      <c r="E443" s="1">
        <v>1.0012941489</v>
      </c>
    </row>
    <row r="444" spans="1:5" x14ac:dyDescent="0.3">
      <c r="A444" s="1">
        <v>443</v>
      </c>
      <c r="B444" s="1">
        <v>-0.94450688530000004</v>
      </c>
      <c r="C444" s="1">
        <v>-0.30577529650000002</v>
      </c>
      <c r="D444" s="1">
        <v>-0.1325811093</v>
      </c>
      <c r="E444" s="1">
        <v>1.0015835155999999</v>
      </c>
    </row>
    <row r="445" spans="1:5" x14ac:dyDescent="0.3">
      <c r="A445" s="1">
        <v>444</v>
      </c>
      <c r="B445" s="1">
        <v>-0.93892454240000001</v>
      </c>
      <c r="C445" s="1">
        <v>-0.320680882</v>
      </c>
      <c r="D445" s="1">
        <v>-0.13904259390000001</v>
      </c>
      <c r="E445" s="1">
        <v>1.0018724306</v>
      </c>
    </row>
    <row r="446" spans="1:5" x14ac:dyDescent="0.3">
      <c r="A446" s="1">
        <v>445</v>
      </c>
      <c r="B446" s="1">
        <v>-0.93306582169999996</v>
      </c>
      <c r="C446" s="1">
        <v>-0.33549207380000001</v>
      </c>
      <c r="D446" s="1">
        <v>-0.14546315069999999</v>
      </c>
      <c r="E446" s="1">
        <v>1.0021608091</v>
      </c>
    </row>
    <row r="447" spans="1:5" x14ac:dyDescent="0.3">
      <c r="A447" s="1">
        <v>446</v>
      </c>
      <c r="B447" s="1">
        <v>-0.92693268470000001</v>
      </c>
      <c r="C447" s="1">
        <v>-0.35020459729999998</v>
      </c>
      <c r="D447" s="1">
        <v>-0.1518409268</v>
      </c>
      <c r="E447" s="1">
        <v>1.0024485668000001</v>
      </c>
    </row>
    <row r="448" spans="1:5" x14ac:dyDescent="0.3">
      <c r="A448" s="1">
        <v>447</v>
      </c>
      <c r="B448" s="1">
        <v>-0.92052717009999996</v>
      </c>
      <c r="C448" s="1">
        <v>-0.36481421400000003</v>
      </c>
      <c r="D448" s="1">
        <v>-0.15817408469999999</v>
      </c>
      <c r="E448" s="1">
        <v>1.0027356194999999</v>
      </c>
    </row>
    <row r="449" spans="1:5" x14ac:dyDescent="0.3">
      <c r="A449" s="1">
        <v>448</v>
      </c>
      <c r="B449" s="1">
        <v>-0.91385139209999999</v>
      </c>
      <c r="C449" s="1">
        <v>-0.37931672290000001</v>
      </c>
      <c r="D449" s="1">
        <v>-0.1644608035</v>
      </c>
      <c r="E449" s="1">
        <v>1.0030218836</v>
      </c>
    </row>
    <row r="450" spans="1:5" x14ac:dyDescent="0.3">
      <c r="A450" s="1">
        <v>449</v>
      </c>
      <c r="B450" s="1">
        <v>-0.90690754060000001</v>
      </c>
      <c r="C450" s="1">
        <v>-0.39370796130000002</v>
      </c>
      <c r="D450" s="1">
        <v>-0.1706992786</v>
      </c>
      <c r="E450" s="1">
        <v>1.0033072757999999</v>
      </c>
    </row>
    <row r="451" spans="1:5" x14ac:dyDescent="0.3">
      <c r="A451" s="1">
        <v>450</v>
      </c>
      <c r="B451" s="1">
        <v>-0.89969787940000001</v>
      </c>
      <c r="C451" s="1">
        <v>-0.4079838059</v>
      </c>
      <c r="D451" s="1">
        <v>-0.17688772259999999</v>
      </c>
      <c r="E451" s="1">
        <v>1.0035917130000001</v>
      </c>
    </row>
    <row r="452" spans="1:5" x14ac:dyDescent="0.3">
      <c r="A452" s="1">
        <v>451</v>
      </c>
      <c r="B452" s="1">
        <v>-0.8922247458</v>
      </c>
      <c r="C452" s="1">
        <v>-0.4221401743</v>
      </c>
      <c r="D452" s="1">
        <v>-0.18302436580000001</v>
      </c>
      <c r="E452" s="1">
        <v>1.0038751129000001</v>
      </c>
    </row>
    <row r="453" spans="1:5" x14ac:dyDescent="0.3">
      <c r="A453" s="1">
        <v>452</v>
      </c>
      <c r="B453" s="1">
        <v>-0.88449054949999995</v>
      </c>
      <c r="C453" s="1">
        <v>-0.43617302520000001</v>
      </c>
      <c r="D453" s="1">
        <v>-0.18910745649999999</v>
      </c>
      <c r="E453" s="1">
        <v>1.0041573932000001</v>
      </c>
    </row>
    <row r="454" spans="1:5" x14ac:dyDescent="0.3">
      <c r="A454" s="1">
        <v>453</v>
      </c>
      <c r="B454" s="1">
        <v>-0.8764977719</v>
      </c>
      <c r="C454" s="1">
        <v>-0.45007836029999998</v>
      </c>
      <c r="D454" s="1">
        <v>-0.1951352613</v>
      </c>
      <c r="E454" s="1">
        <v>1.0044384722999999</v>
      </c>
    </row>
    <row r="455" spans="1:5" x14ac:dyDescent="0.3">
      <c r="A455" s="1">
        <v>454</v>
      </c>
      <c r="B455" s="1">
        <v>-0.86824896460000001</v>
      </c>
      <c r="C455" s="1">
        <v>-0.46385222469999998</v>
      </c>
      <c r="D455" s="1">
        <v>-0.20110606580000001</v>
      </c>
      <c r="E455" s="1">
        <v>1.0047182692000001</v>
      </c>
    </row>
    <row r="456" spans="1:5" x14ac:dyDescent="0.3">
      <c r="A456" s="1">
        <v>455</v>
      </c>
      <c r="B456" s="1">
        <v>-0.85974674910000004</v>
      </c>
      <c r="C456" s="1">
        <v>-0.47749070789999998</v>
      </c>
      <c r="D456" s="1">
        <v>-0.207018175</v>
      </c>
      <c r="E456" s="1">
        <v>1.0049967033</v>
      </c>
    </row>
    <row r="457" spans="1:5" x14ac:dyDescent="0.3">
      <c r="A457" s="1">
        <v>456</v>
      </c>
      <c r="B457" s="1">
        <v>-0.85099381549999997</v>
      </c>
      <c r="C457" s="1">
        <v>-0.4909899452</v>
      </c>
      <c r="D457" s="1">
        <v>-0.21286991350000001</v>
      </c>
      <c r="E457" s="1">
        <v>1.0052736943</v>
      </c>
    </row>
    <row r="458" spans="1:5" x14ac:dyDescent="0.3">
      <c r="A458" s="1">
        <v>457</v>
      </c>
      <c r="B458" s="1">
        <v>-0.84199292150000005</v>
      </c>
      <c r="C458" s="1">
        <v>-0.50434611809999996</v>
      </c>
      <c r="D458" s="1">
        <v>-0.2186596261</v>
      </c>
      <c r="E458" s="1">
        <v>1.0055491626999999</v>
      </c>
    </row>
    <row r="459" spans="1:5" x14ac:dyDescent="0.3">
      <c r="A459" s="1">
        <v>458</v>
      </c>
      <c r="B459" s="1">
        <v>-0.83274689120000001</v>
      </c>
      <c r="C459" s="1">
        <v>-0.51755545560000005</v>
      </c>
      <c r="D459" s="1">
        <v>-0.22438567810000001</v>
      </c>
      <c r="E459" s="1">
        <v>1.0058230295999999</v>
      </c>
    </row>
    <row r="460" spans="1:5" x14ac:dyDescent="0.3">
      <c r="A460" s="1">
        <v>459</v>
      </c>
      <c r="B460" s="1">
        <v>-0.82325861469999995</v>
      </c>
      <c r="C460" s="1">
        <v>-0.53061423500000005</v>
      </c>
      <c r="D460" s="1">
        <v>-0.23004645570000001</v>
      </c>
      <c r="E460" s="1">
        <v>1.0060952165999999</v>
      </c>
    </row>
    <row r="461" spans="1:5" x14ac:dyDescent="0.3">
      <c r="A461" s="1">
        <v>460</v>
      </c>
      <c r="B461" s="1">
        <v>-0.81353104659999997</v>
      </c>
      <c r="C461" s="1">
        <v>-0.54351878249999996</v>
      </c>
      <c r="D461" s="1">
        <v>-0.23564036660000001</v>
      </c>
      <c r="E461" s="1">
        <v>1.0063656458000001</v>
      </c>
    </row>
    <row r="462" spans="1:5" x14ac:dyDescent="0.3">
      <c r="A462" s="1">
        <v>461</v>
      </c>
      <c r="B462" s="1">
        <v>-0.80356720500000001</v>
      </c>
      <c r="C462" s="1">
        <v>-0.55626547459999998</v>
      </c>
      <c r="D462" s="1">
        <v>-0.2411658398</v>
      </c>
      <c r="E462" s="1">
        <v>1.0066342401999999</v>
      </c>
    </row>
    <row r="463" spans="1:5" x14ac:dyDescent="0.3">
      <c r="A463" s="1">
        <v>462</v>
      </c>
      <c r="B463" s="1">
        <v>-0.79337017050000003</v>
      </c>
      <c r="C463" s="1">
        <v>-0.56885073850000001</v>
      </c>
      <c r="D463" s="1">
        <v>-0.24662132680000001</v>
      </c>
      <c r="E463" s="1">
        <v>1.0069009230999999</v>
      </c>
    </row>
    <row r="464" spans="1:5" x14ac:dyDescent="0.3">
      <c r="A464" s="1">
        <v>463</v>
      </c>
      <c r="B464" s="1">
        <v>-0.78294308540000002</v>
      </c>
      <c r="C464" s="1">
        <v>-0.58127105290000003</v>
      </c>
      <c r="D464" s="1">
        <v>-0.25200530100000001</v>
      </c>
      <c r="E464" s="1">
        <v>1.0071656188</v>
      </c>
    </row>
    <row r="465" spans="1:5" x14ac:dyDescent="0.3">
      <c r="A465" s="1">
        <v>464</v>
      </c>
      <c r="B465" s="1">
        <v>-0.77228915210000004</v>
      </c>
      <c r="C465" s="1">
        <v>-0.59352294930000005</v>
      </c>
      <c r="D465" s="1">
        <v>-0.25731625899999999</v>
      </c>
      <c r="E465" s="1">
        <v>1.007428252</v>
      </c>
    </row>
    <row r="466" spans="1:5" x14ac:dyDescent="0.3">
      <c r="A466" s="1">
        <v>465</v>
      </c>
      <c r="B466" s="1">
        <v>-0.76141163270000001</v>
      </c>
      <c r="C466" s="1">
        <v>-0.60560301220000001</v>
      </c>
      <c r="D466" s="1">
        <v>-0.26255272019999998</v>
      </c>
      <c r="E466" s="1">
        <v>1.0076887483999999</v>
      </c>
    </row>
    <row r="467" spans="1:5" x14ac:dyDescent="0.3">
      <c r="A467" s="1">
        <v>466</v>
      </c>
      <c r="B467" s="1">
        <v>-0.75031384729999995</v>
      </c>
      <c r="C467" s="1">
        <v>-0.61750788010000002</v>
      </c>
      <c r="D467" s="1">
        <v>-0.26771322739999998</v>
      </c>
      <c r="E467" s="1">
        <v>1.0079470341000001</v>
      </c>
    </row>
    <row r="468" spans="1:5" x14ac:dyDescent="0.3">
      <c r="A468" s="1">
        <v>467</v>
      </c>
      <c r="B468" s="1">
        <v>-0.73899917339999999</v>
      </c>
      <c r="C468" s="1">
        <v>-0.62923424630000002</v>
      </c>
      <c r="D468" s="1">
        <v>-0.27279634749999998</v>
      </c>
      <c r="E468" s="1">
        <v>1.0082030362000001</v>
      </c>
    </row>
    <row r="469" spans="1:5" x14ac:dyDescent="0.3">
      <c r="A469" s="1">
        <v>468</v>
      </c>
      <c r="B469" s="1">
        <v>-0.7274710445</v>
      </c>
      <c r="C469" s="1">
        <v>-0.64077885980000004</v>
      </c>
      <c r="D469" s="1">
        <v>-0.27780067089999999</v>
      </c>
      <c r="E469" s="1">
        <v>1.0084566825000001</v>
      </c>
    </row>
    <row r="470" spans="1:5" x14ac:dyDescent="0.3">
      <c r="A470" s="1">
        <v>469</v>
      </c>
      <c r="B470" s="1">
        <v>-0.71573294899999995</v>
      </c>
      <c r="C470" s="1">
        <v>-0.65213852539999995</v>
      </c>
      <c r="D470" s="1">
        <v>-0.2827248128</v>
      </c>
      <c r="E470" s="1">
        <v>1.0087079014</v>
      </c>
    </row>
    <row r="471" spans="1:5" x14ac:dyDescent="0.3">
      <c r="A471" s="1">
        <v>470</v>
      </c>
      <c r="B471" s="1">
        <v>-0.70378842939999997</v>
      </c>
      <c r="C471" s="1">
        <v>-0.66331010499999998</v>
      </c>
      <c r="D471" s="1">
        <v>-0.28756741279999998</v>
      </c>
      <c r="E471" s="1">
        <v>1.0089566222999999</v>
      </c>
    </row>
    <row r="472" spans="1:5" x14ac:dyDescent="0.3">
      <c r="A472" s="1">
        <v>471</v>
      </c>
      <c r="B472" s="1">
        <v>-0.69164108079999997</v>
      </c>
      <c r="C472" s="1">
        <v>-0.67429051809999996</v>
      </c>
      <c r="D472" s="1">
        <v>-0.29232713570000002</v>
      </c>
      <c r="E472" s="1">
        <v>1.0092027752999999</v>
      </c>
    </row>
    <row r="473" spans="1:5" x14ac:dyDescent="0.3">
      <c r="A473" s="1">
        <v>472</v>
      </c>
      <c r="B473" s="1">
        <v>-0.67929455000000005</v>
      </c>
      <c r="C473" s="1">
        <v>-0.68507674220000003</v>
      </c>
      <c r="D473" s="1">
        <v>-0.29700267120000001</v>
      </c>
      <c r="E473" s="1">
        <v>1.0094462913</v>
      </c>
    </row>
    <row r="474" spans="1:5" x14ac:dyDescent="0.3">
      <c r="A474" s="1">
        <v>473</v>
      </c>
      <c r="B474" s="1">
        <v>-0.66675253440000004</v>
      </c>
      <c r="C474" s="1">
        <v>-0.69566581390000004</v>
      </c>
      <c r="D474" s="1">
        <v>-0.30159273489999999</v>
      </c>
      <c r="E474" s="1">
        <v>1.0096871023</v>
      </c>
    </row>
    <row r="475" spans="1:5" x14ac:dyDescent="0.3">
      <c r="A475" s="1">
        <v>474</v>
      </c>
      <c r="B475" s="1">
        <v>-0.65401878079999998</v>
      </c>
      <c r="C475" s="1">
        <v>-0.70605482890000004</v>
      </c>
      <c r="D475" s="1">
        <v>-0.30609606779999998</v>
      </c>
      <c r="E475" s="1">
        <v>1.0099251407000001</v>
      </c>
    </row>
    <row r="476" spans="1:5" x14ac:dyDescent="0.3">
      <c r="A476" s="1">
        <v>475</v>
      </c>
      <c r="B476" s="1">
        <v>-0.64109708409999999</v>
      </c>
      <c r="C476" s="1">
        <v>-0.7162409434</v>
      </c>
      <c r="D476" s="1">
        <v>-0.31051143720000002</v>
      </c>
      <c r="E476" s="1">
        <v>1.0101603401999999</v>
      </c>
    </row>
    <row r="477" spans="1:5" x14ac:dyDescent="0.3">
      <c r="A477" s="1">
        <v>476</v>
      </c>
      <c r="B477" s="1">
        <v>-0.62799128650000002</v>
      </c>
      <c r="C477" s="1">
        <v>-0.72622137369999995</v>
      </c>
      <c r="D477" s="1">
        <v>-0.31483763650000002</v>
      </c>
      <c r="E477" s="1">
        <v>1.0103926350000001</v>
      </c>
    </row>
    <row r="478" spans="1:5" x14ac:dyDescent="0.3">
      <c r="A478" s="1">
        <v>477</v>
      </c>
      <c r="B478" s="1">
        <v>-0.61470527600000002</v>
      </c>
      <c r="C478" s="1">
        <v>-0.73599339779999995</v>
      </c>
      <c r="D478" s="1">
        <v>-0.3190734858</v>
      </c>
      <c r="E478" s="1">
        <v>1.0106219607</v>
      </c>
    </row>
    <row r="479" spans="1:5" x14ac:dyDescent="0.3">
      <c r="A479" s="1">
        <v>478</v>
      </c>
      <c r="B479" s="1">
        <v>-0.60124298570000001</v>
      </c>
      <c r="C479" s="1">
        <v>-0.74555435510000001</v>
      </c>
      <c r="D479" s="1">
        <v>-0.32321783180000002</v>
      </c>
      <c r="E479" s="1">
        <v>1.0108482532</v>
      </c>
    </row>
    <row r="480" spans="1:5" x14ac:dyDescent="0.3">
      <c r="A480" s="1">
        <v>479</v>
      </c>
      <c r="B480" s="1">
        <v>-0.58760839200000003</v>
      </c>
      <c r="C480" s="1">
        <v>-0.75490164739999999</v>
      </c>
      <c r="D480" s="1">
        <v>-0.32726954819999998</v>
      </c>
      <c r="E480" s="1">
        <v>1.0110714499</v>
      </c>
    </row>
    <row r="481" spans="1:5" x14ac:dyDescent="0.3">
      <c r="A481" s="1">
        <v>480</v>
      </c>
      <c r="B481" s="1">
        <v>-0.57380551420000003</v>
      </c>
      <c r="C481" s="1">
        <v>-0.76403273910000002</v>
      </c>
      <c r="D481" s="1">
        <v>-0.3312275361</v>
      </c>
      <c r="E481" s="1">
        <v>1.0112914888</v>
      </c>
    </row>
    <row r="482" spans="1:5" x14ac:dyDescent="0.3">
      <c r="A482" s="1">
        <v>481</v>
      </c>
      <c r="B482" s="1">
        <v>-0.55983841270000001</v>
      </c>
      <c r="C482" s="1">
        <v>-0.77294515809999997</v>
      </c>
      <c r="D482" s="1">
        <v>-0.33509072379999999</v>
      </c>
      <c r="E482" s="1">
        <v>1.0115083089000001</v>
      </c>
    </row>
    <row r="483" spans="1:5" x14ac:dyDescent="0.3">
      <c r="A483" s="1">
        <v>482</v>
      </c>
      <c r="B483" s="1">
        <v>-0.54571118809999997</v>
      </c>
      <c r="C483" s="1">
        <v>-0.78163649589999995</v>
      </c>
      <c r="D483" s="1">
        <v>-0.33885806730000001</v>
      </c>
      <c r="E483" s="1">
        <v>1.0117218503000001</v>
      </c>
    </row>
    <row r="484" spans="1:5" x14ac:dyDescent="0.3">
      <c r="A484" s="1">
        <v>483</v>
      </c>
      <c r="B484" s="1">
        <v>-0.53142798030000005</v>
      </c>
      <c r="C484" s="1">
        <v>-0.79010440810000004</v>
      </c>
      <c r="D484" s="1">
        <v>-0.34252855059999998</v>
      </c>
      <c r="E484" s="1">
        <v>1.0119320539000001</v>
      </c>
    </row>
    <row r="485" spans="1:5" x14ac:dyDescent="0.3">
      <c r="A485" s="1">
        <v>484</v>
      </c>
      <c r="B485" s="1">
        <v>-0.51699296660000005</v>
      </c>
      <c r="C485" s="1">
        <v>-0.79834661500000004</v>
      </c>
      <c r="D485" s="1">
        <v>-0.34610118540000001</v>
      </c>
      <c r="E485" s="1">
        <v>1.0121388619</v>
      </c>
    </row>
    <row r="486" spans="1:5" x14ac:dyDescent="0.3">
      <c r="A486" s="1">
        <v>485</v>
      </c>
      <c r="B486" s="1">
        <v>-0.50241036130000005</v>
      </c>
      <c r="C486" s="1">
        <v>-0.8063609021</v>
      </c>
      <c r="D486" s="1">
        <v>-0.3495750118</v>
      </c>
      <c r="E486" s="1">
        <v>1.0123422171000001</v>
      </c>
    </row>
    <row r="487" spans="1:5" x14ac:dyDescent="0.3">
      <c r="A487" s="1">
        <v>486</v>
      </c>
      <c r="B487" s="1">
        <v>-0.48768441420000003</v>
      </c>
      <c r="C487" s="1">
        <v>-0.81414512019999996</v>
      </c>
      <c r="D487" s="1">
        <v>-0.35294909829999999</v>
      </c>
      <c r="E487" s="1">
        <v>1.0125420636</v>
      </c>
    </row>
    <row r="488" spans="1:5" x14ac:dyDescent="0.3">
      <c r="A488" s="1">
        <v>487</v>
      </c>
      <c r="B488" s="1">
        <v>-0.47281940950000001</v>
      </c>
      <c r="C488" s="1">
        <v>-0.82169718579999995</v>
      </c>
      <c r="D488" s="1">
        <v>-0.35622254180000001</v>
      </c>
      <c r="E488" s="1">
        <v>1.0127383464999999</v>
      </c>
    </row>
    <row r="489" spans="1:5" x14ac:dyDescent="0.3">
      <c r="A489" s="1">
        <v>488</v>
      </c>
      <c r="B489" s="1">
        <v>-0.45781966419999998</v>
      </c>
      <c r="C489" s="1">
        <v>-0.82901508189999995</v>
      </c>
      <c r="D489" s="1">
        <v>-0.35939446800000002</v>
      </c>
      <c r="E489" s="1">
        <v>1.0129310117999999</v>
      </c>
    </row>
    <row r="490" spans="1:5" x14ac:dyDescent="0.3">
      <c r="A490" s="1">
        <v>489</v>
      </c>
      <c r="B490" s="1">
        <v>-0.44268952779999998</v>
      </c>
      <c r="C490" s="1">
        <v>-0.836096858</v>
      </c>
      <c r="D490" s="1">
        <v>-0.36246403150000001</v>
      </c>
      <c r="E490" s="1">
        <v>1.0131200066999999</v>
      </c>
    </row>
    <row r="491" spans="1:5" x14ac:dyDescent="0.3">
      <c r="A491" s="1">
        <v>490</v>
      </c>
      <c r="B491" s="1">
        <v>-0.42743338019999999</v>
      </c>
      <c r="C491" s="1">
        <v>-0.84294063029999999</v>
      </c>
      <c r="D491" s="1">
        <v>-0.36543041580000002</v>
      </c>
      <c r="E491" s="1">
        <v>1.0133052794999999</v>
      </c>
    </row>
    <row r="492" spans="1:5" x14ac:dyDescent="0.3">
      <c r="A492" s="1">
        <v>491</v>
      </c>
      <c r="B492" s="1">
        <v>-0.41205563119999999</v>
      </c>
      <c r="C492" s="1">
        <v>-0.84954458249999998</v>
      </c>
      <c r="D492" s="1">
        <v>-0.36829283369999999</v>
      </c>
      <c r="E492" s="1">
        <v>1.0134867795</v>
      </c>
    </row>
    <row r="493" spans="1:5" x14ac:dyDescent="0.3">
      <c r="A493" s="1">
        <v>492</v>
      </c>
      <c r="B493" s="1">
        <v>-0.3965607189</v>
      </c>
      <c r="C493" s="1">
        <v>-0.85590696570000002</v>
      </c>
      <c r="D493" s="1">
        <v>-0.37105052700000002</v>
      </c>
      <c r="E493" s="1">
        <v>1.013664457</v>
      </c>
    </row>
    <row r="494" spans="1:5" x14ac:dyDescent="0.3">
      <c r="A494" s="1">
        <v>493</v>
      </c>
      <c r="B494" s="1">
        <v>-0.38095310869999999</v>
      </c>
      <c r="C494" s="1">
        <v>-0.86202609890000004</v>
      </c>
      <c r="D494" s="1">
        <v>-0.37370276720000001</v>
      </c>
      <c r="E494" s="1">
        <v>1.0138382635000001</v>
      </c>
    </row>
    <row r="495" spans="1:5" x14ac:dyDescent="0.3">
      <c r="A495" s="1">
        <v>494</v>
      </c>
      <c r="B495" s="1">
        <v>-0.36523729220000001</v>
      </c>
      <c r="C495" s="1">
        <v>-0.86790036910000001</v>
      </c>
      <c r="D495" s="1">
        <v>-0.37624885530000002</v>
      </c>
      <c r="E495" s="1">
        <v>1.0140081515999999</v>
      </c>
    </row>
    <row r="496" spans="1:5" x14ac:dyDescent="0.3">
      <c r="A496" s="1">
        <v>495</v>
      </c>
      <c r="B496" s="1">
        <v>-0.34941778579999999</v>
      </c>
      <c r="C496" s="1">
        <v>-0.87352823180000005</v>
      </c>
      <c r="D496" s="1">
        <v>-0.37868812169999999</v>
      </c>
      <c r="E496" s="1">
        <v>1.0141740749999999</v>
      </c>
    </row>
    <row r="497" spans="1:5" x14ac:dyDescent="0.3">
      <c r="A497" s="1">
        <v>496</v>
      </c>
      <c r="B497" s="1">
        <v>-0.3334991296</v>
      </c>
      <c r="C497" s="1">
        <v>-0.87890821109999995</v>
      </c>
      <c r="D497" s="1">
        <v>-0.38101992670000001</v>
      </c>
      <c r="E497" s="1">
        <v>1.0143359885000001</v>
      </c>
    </row>
    <row r="498" spans="1:5" x14ac:dyDescent="0.3">
      <c r="A498" s="1">
        <v>497</v>
      </c>
      <c r="B498" s="1">
        <v>-0.31748588649999998</v>
      </c>
      <c r="C498" s="1">
        <v>-0.88403889989999995</v>
      </c>
      <c r="D498" s="1">
        <v>-0.38324366059999998</v>
      </c>
      <c r="E498" s="1">
        <v>1.0144938482000001</v>
      </c>
    </row>
    <row r="499" spans="1:5" x14ac:dyDescent="0.3">
      <c r="A499" s="1">
        <v>498</v>
      </c>
      <c r="B499" s="1">
        <v>-0.30138264040000001</v>
      </c>
      <c r="C499" s="1">
        <v>-0.88891896010000004</v>
      </c>
      <c r="D499" s="1">
        <v>-0.38535874339999998</v>
      </c>
      <c r="E499" s="1">
        <v>1.0146476111</v>
      </c>
    </row>
    <row r="500" spans="1:5" x14ac:dyDescent="0.3">
      <c r="A500" s="1">
        <v>499</v>
      </c>
      <c r="B500" s="1">
        <v>-0.28519399579999999</v>
      </c>
      <c r="C500" s="1">
        <v>-0.89354712300000005</v>
      </c>
      <c r="D500" s="1">
        <v>-0.38736462510000003</v>
      </c>
      <c r="E500" s="1">
        <v>1.0147972354000001</v>
      </c>
    </row>
    <row r="501" spans="1:5" x14ac:dyDescent="0.3">
      <c r="A501" s="1">
        <v>500</v>
      </c>
      <c r="B501" s="1">
        <v>-0.26892457590000002</v>
      </c>
      <c r="C501" s="1">
        <v>-0.89792218930000001</v>
      </c>
      <c r="D501" s="1">
        <v>-0.38926078619999999</v>
      </c>
      <c r="E501" s="1">
        <v>1.0149426806999999</v>
      </c>
    </row>
    <row r="502" spans="1:5" x14ac:dyDescent="0.3">
      <c r="A502" s="1">
        <v>501</v>
      </c>
      <c r="B502" s="1">
        <v>-0.25257902189999998</v>
      </c>
      <c r="C502" s="1">
        <v>-0.90204302920000001</v>
      </c>
      <c r="D502" s="1">
        <v>-0.39104673680000002</v>
      </c>
      <c r="E502" s="1">
        <v>1.0150839075</v>
      </c>
    </row>
    <row r="503" spans="1:5" x14ac:dyDescent="0.3">
      <c r="A503" s="1">
        <v>502</v>
      </c>
      <c r="B503" s="1">
        <v>-0.23616199169999999</v>
      </c>
      <c r="C503" s="1">
        <v>-0.90590858289999998</v>
      </c>
      <c r="D503" s="1">
        <v>-0.39272201769999998</v>
      </c>
      <c r="E503" s="1">
        <v>1.0152208775</v>
      </c>
    </row>
    <row r="504" spans="1:5" x14ac:dyDescent="0.3">
      <c r="A504" s="1">
        <v>503</v>
      </c>
      <c r="B504" s="1">
        <v>-0.21967815860000001</v>
      </c>
      <c r="C504" s="1">
        <v>-0.90951786040000004</v>
      </c>
      <c r="D504" s="1">
        <v>-0.39428619980000001</v>
      </c>
      <c r="E504" s="1">
        <v>1.0153535537</v>
      </c>
    </row>
    <row r="505" spans="1:5" x14ac:dyDescent="0.3">
      <c r="A505" s="1">
        <v>504</v>
      </c>
      <c r="B505" s="1">
        <v>-0.2031322103</v>
      </c>
      <c r="C505" s="1">
        <v>-0.91286994160000001</v>
      </c>
      <c r="D505" s="1">
        <v>-0.3957388845</v>
      </c>
      <c r="E505" s="1">
        <v>1.0154819003</v>
      </c>
    </row>
    <row r="506" spans="1:5" x14ac:dyDescent="0.3">
      <c r="A506" s="1">
        <v>505</v>
      </c>
      <c r="B506" s="1">
        <v>-0.18652884750000001</v>
      </c>
      <c r="C506" s="1">
        <v>-0.91596397679999997</v>
      </c>
      <c r="D506" s="1">
        <v>-0.39707970349999999</v>
      </c>
      <c r="E506" s="1">
        <v>1.0156058826000001</v>
      </c>
    </row>
    <row r="507" spans="1:5" x14ac:dyDescent="0.3">
      <c r="A507" s="1">
        <v>506</v>
      </c>
      <c r="B507" s="1">
        <v>-0.16987278319999999</v>
      </c>
      <c r="C507" s="1">
        <v>-0.91879918650000003</v>
      </c>
      <c r="D507" s="1">
        <v>-0.39830831900000002</v>
      </c>
      <c r="E507" s="1">
        <v>1.0157254671</v>
      </c>
    </row>
    <row r="508" spans="1:5" x14ac:dyDescent="0.3">
      <c r="A508" s="1">
        <v>507</v>
      </c>
      <c r="B508" s="1">
        <v>-0.1531687407</v>
      </c>
      <c r="C508" s="1">
        <v>-0.92137486130000001</v>
      </c>
      <c r="D508" s="1">
        <v>-0.39942442360000002</v>
      </c>
      <c r="E508" s="1">
        <v>1.0158406215</v>
      </c>
    </row>
    <row r="509" spans="1:5" x14ac:dyDescent="0.3">
      <c r="A509" s="1">
        <v>508</v>
      </c>
      <c r="B509" s="1">
        <v>-0.13642145350000001</v>
      </c>
      <c r="C509" s="1">
        <v>-0.92369036260000004</v>
      </c>
      <c r="D509" s="1">
        <v>-0.40042774060000003</v>
      </c>
      <c r="E509" s="1">
        <v>1.0159513149999999</v>
      </c>
    </row>
    <row r="510" spans="1:5" x14ac:dyDescent="0.3">
      <c r="A510" s="1">
        <v>509</v>
      </c>
      <c r="B510" s="1">
        <v>-0.11963566320000001</v>
      </c>
      <c r="C510" s="1">
        <v>-0.92574512190000002</v>
      </c>
      <c r="D510" s="1">
        <v>-0.40131802370000003</v>
      </c>
      <c r="E510" s="1">
        <v>1.0160575175</v>
      </c>
    </row>
    <row r="511" spans="1:5" x14ac:dyDescent="0.3">
      <c r="A511" s="1">
        <v>510</v>
      </c>
      <c r="B511" s="1">
        <v>-0.10281611879999999</v>
      </c>
      <c r="C511" s="1">
        <v>-0.92753864149999998</v>
      </c>
      <c r="D511" s="1">
        <v>-0.4020950573</v>
      </c>
      <c r="E511" s="1">
        <v>1.0161592006</v>
      </c>
    </row>
    <row r="512" spans="1:5" x14ac:dyDescent="0.3">
      <c r="A512" s="1">
        <v>511</v>
      </c>
      <c r="B512" s="1">
        <v>-8.5967575500000004E-2</v>
      </c>
      <c r="C512" s="1">
        <v>-0.92907049409999998</v>
      </c>
      <c r="D512" s="1">
        <v>-0.40275865620000001</v>
      </c>
      <c r="E512" s="1">
        <v>1.0162563368999999</v>
      </c>
    </row>
    <row r="513" spans="1:5" x14ac:dyDescent="0.3">
      <c r="A513" s="1">
        <v>512</v>
      </c>
      <c r="B513" s="1">
        <v>-6.9094793599999996E-2</v>
      </c>
      <c r="C513" s="1">
        <v>-0.93034032290000002</v>
      </c>
      <c r="D513" s="1">
        <v>-0.40330866599999998</v>
      </c>
      <c r="E513" s="1">
        <v>1.0163489001999999</v>
      </c>
    </row>
    <row r="514" spans="1:5" x14ac:dyDescent="0.3">
      <c r="A514" s="1">
        <v>513</v>
      </c>
      <c r="B514" s="1">
        <v>-5.2202536899999999E-2</v>
      </c>
      <c r="C514" s="1">
        <v>-0.93134784179999996</v>
      </c>
      <c r="D514" s="1">
        <v>-0.40374496269999999</v>
      </c>
      <c r="E514" s="1">
        <v>1.0164368658</v>
      </c>
    </row>
    <row r="515" spans="1:5" x14ac:dyDescent="0.3">
      <c r="A515" s="1">
        <v>514</v>
      </c>
      <c r="B515" s="1">
        <v>-3.52955722E-2</v>
      </c>
      <c r="C515" s="1">
        <v>-0.93209283509999996</v>
      </c>
      <c r="D515" s="1">
        <v>-0.40406745290000001</v>
      </c>
      <c r="E515" s="1">
        <v>1.0165202098999999</v>
      </c>
    </row>
    <row r="516" spans="1:5" x14ac:dyDescent="0.3">
      <c r="A516" s="1">
        <v>515</v>
      </c>
      <c r="B516" s="1">
        <v>-1.8378667800000002E-2</v>
      </c>
      <c r="C516" s="1">
        <v>-0.9325751578</v>
      </c>
      <c r="D516" s="1">
        <v>-0.40427607399999999</v>
      </c>
      <c r="E516" s="1">
        <v>1.0165989102999999</v>
      </c>
    </row>
    <row r="517" spans="1:5" x14ac:dyDescent="0.3">
      <c r="A517" s="1">
        <v>516</v>
      </c>
      <c r="B517" s="1">
        <v>-1.456592E-3</v>
      </c>
      <c r="C517" s="1">
        <v>-0.93279473530000001</v>
      </c>
      <c r="D517" s="1">
        <v>-0.40437079370000001</v>
      </c>
      <c r="E517" s="1">
        <v>1.0166729457999999</v>
      </c>
    </row>
    <row r="518" spans="1:5" x14ac:dyDescent="0.3">
      <c r="A518" s="1">
        <v>517</v>
      </c>
      <c r="B518" s="1">
        <v>1.5465887100000001E-2</v>
      </c>
      <c r="C518" s="1">
        <v>-0.93275156339999998</v>
      </c>
      <c r="D518" s="1">
        <v>-0.4043516103</v>
      </c>
      <c r="E518" s="1">
        <v>1.0167422964999999</v>
      </c>
    </row>
    <row r="519" spans="1:5" x14ac:dyDescent="0.3">
      <c r="A519" s="1">
        <v>518</v>
      </c>
      <c r="B519" s="1">
        <v>3.2384003699999997E-2</v>
      </c>
      <c r="C519" s="1">
        <v>-0.93244570839999996</v>
      </c>
      <c r="D519" s="1">
        <v>-0.40421855270000001</v>
      </c>
      <c r="E519" s="1">
        <v>1.0168069439</v>
      </c>
    </row>
    <row r="520" spans="1:5" x14ac:dyDescent="0.3">
      <c r="A520" s="1">
        <v>519</v>
      </c>
      <c r="B520" s="1">
        <v>4.9292995100000001E-2</v>
      </c>
      <c r="C520" s="1">
        <v>-0.93187730670000002</v>
      </c>
      <c r="D520" s="1">
        <v>-0.40397168030000002</v>
      </c>
      <c r="E520" s="1">
        <v>1.0168668705999999</v>
      </c>
    </row>
    <row r="521" spans="1:5" x14ac:dyDescent="0.3">
      <c r="A521" s="1">
        <v>520</v>
      </c>
      <c r="B521" s="1">
        <v>6.6188102499999998E-2</v>
      </c>
      <c r="C521" s="1">
        <v>-0.93104656509999995</v>
      </c>
      <c r="D521" s="1">
        <v>-0.4036110826</v>
      </c>
      <c r="E521" s="1">
        <v>1.0169220606</v>
      </c>
    </row>
    <row r="522" spans="1:5" x14ac:dyDescent="0.3">
      <c r="A522" s="1">
        <v>521</v>
      </c>
      <c r="B522" s="1">
        <v>8.3064572700000006E-2</v>
      </c>
      <c r="C522" s="1">
        <v>-0.9299537605</v>
      </c>
      <c r="D522" s="1">
        <v>-0.40313687999999998</v>
      </c>
      <c r="E522" s="1">
        <v>1.0169724991</v>
      </c>
    </row>
    <row r="523" spans="1:5" x14ac:dyDescent="0.3">
      <c r="A523" s="1">
        <v>522</v>
      </c>
      <c r="B523" s="1">
        <v>9.9917658899999998E-2</v>
      </c>
      <c r="C523" s="1">
        <v>-0.92859923980000003</v>
      </c>
      <c r="D523" s="1">
        <v>-0.4025492228</v>
      </c>
      <c r="E523" s="1">
        <v>1.0170181726</v>
      </c>
    </row>
    <row r="524" spans="1:5" x14ac:dyDescent="0.3">
      <c r="A524" s="1">
        <v>523</v>
      </c>
      <c r="B524" s="1">
        <v>0.1167426218</v>
      </c>
      <c r="C524" s="1">
        <v>-0.92698341959999997</v>
      </c>
      <c r="D524" s="1">
        <v>-0.401848292</v>
      </c>
      <c r="E524" s="1">
        <v>1.0170590689000001</v>
      </c>
    </row>
    <row r="525" spans="1:5" x14ac:dyDescent="0.3">
      <c r="A525" s="1">
        <v>524</v>
      </c>
      <c r="B525" s="1">
        <v>0.1335347311</v>
      </c>
      <c r="C525" s="1">
        <v>-0.92510678639999999</v>
      </c>
      <c r="D525" s="1">
        <v>-0.40103429839999999</v>
      </c>
      <c r="E525" s="1">
        <v>1.0170951770000001</v>
      </c>
    </row>
    <row r="526" spans="1:5" x14ac:dyDescent="0.3">
      <c r="A526" s="1">
        <v>525</v>
      </c>
      <c r="B526" s="1">
        <v>0.15028926619999999</v>
      </c>
      <c r="C526" s="1">
        <v>-0.92296989630000004</v>
      </c>
      <c r="D526" s="1">
        <v>-0.40010748330000001</v>
      </c>
      <c r="E526" s="1">
        <v>1.0171264873000001</v>
      </c>
    </row>
    <row r="527" spans="1:5" x14ac:dyDescent="0.3">
      <c r="A527" s="1">
        <v>526</v>
      </c>
      <c r="B527" s="1">
        <v>0.16700151730000001</v>
      </c>
      <c r="C527" s="1">
        <v>-0.9205733747</v>
      </c>
      <c r="D527" s="1">
        <v>-0.39906811800000003</v>
      </c>
      <c r="E527" s="1">
        <v>1.0171529913999999</v>
      </c>
    </row>
    <row r="528" spans="1:5" x14ac:dyDescent="0.3">
      <c r="A528" s="1">
        <v>527</v>
      </c>
      <c r="B528" s="1">
        <v>0.18366678710000001</v>
      </c>
      <c r="C528" s="1">
        <v>-0.91791791649999999</v>
      </c>
      <c r="D528" s="1">
        <v>-0.39791650379999999</v>
      </c>
      <c r="E528" s="1">
        <v>1.0171746822000001</v>
      </c>
    </row>
    <row r="529" spans="1:5" x14ac:dyDescent="0.3">
      <c r="A529" s="1">
        <v>528</v>
      </c>
      <c r="B529" s="1">
        <v>0.2002803913</v>
      </c>
      <c r="C529" s="1">
        <v>-0.91500428519999999</v>
      </c>
      <c r="D529" s="1">
        <v>-0.39665297179999998</v>
      </c>
      <c r="E529" s="1">
        <v>1.0171915538</v>
      </c>
    </row>
    <row r="530" spans="1:5" x14ac:dyDescent="0.3">
      <c r="A530" s="1">
        <v>529</v>
      </c>
      <c r="B530" s="1">
        <v>0.21683765990000001</v>
      </c>
      <c r="C530" s="1">
        <v>-0.91183331369999998</v>
      </c>
      <c r="D530" s="1">
        <v>-0.39527788320000001</v>
      </c>
      <c r="E530" s="1">
        <v>1.0172036018999999</v>
      </c>
    </row>
    <row r="531" spans="1:5" x14ac:dyDescent="0.3">
      <c r="A531" s="1">
        <v>530</v>
      </c>
      <c r="B531" s="1">
        <v>0.2333339384</v>
      </c>
      <c r="C531" s="1">
        <v>-0.90840590310000002</v>
      </c>
      <c r="D531" s="1">
        <v>-0.39379162870000001</v>
      </c>
      <c r="E531" s="1">
        <v>1.0172108230000001</v>
      </c>
    </row>
    <row r="532" spans="1:5" x14ac:dyDescent="0.3">
      <c r="A532" s="1">
        <v>531</v>
      </c>
      <c r="B532" s="1">
        <v>0.24976458900000001</v>
      </c>
      <c r="C532" s="1">
        <v>-0.90472302319999998</v>
      </c>
      <c r="D532" s="1">
        <v>-0.39219462900000002</v>
      </c>
      <c r="E532" s="1">
        <v>1.0172132154</v>
      </c>
    </row>
    <row r="533" spans="1:5" x14ac:dyDescent="0.3">
      <c r="A533" s="1">
        <v>532</v>
      </c>
      <c r="B533" s="1">
        <v>0.26612499150000002</v>
      </c>
      <c r="C533" s="1">
        <v>-0.9007857118</v>
      </c>
      <c r="D533" s="1">
        <v>-0.39048733400000002</v>
      </c>
      <c r="E533" s="1">
        <v>1.0172107784</v>
      </c>
    </row>
    <row r="534" spans="1:5" x14ac:dyDescent="0.3">
      <c r="A534" s="1">
        <v>533</v>
      </c>
      <c r="B534" s="1">
        <v>0.2824105442</v>
      </c>
      <c r="C534" s="1">
        <v>-0.89659507469999999</v>
      </c>
      <c r="D534" s="1">
        <v>-0.38867022330000001</v>
      </c>
      <c r="E534" s="1">
        <v>1.0172035126000001</v>
      </c>
    </row>
    <row r="535" spans="1:5" x14ac:dyDescent="0.3">
      <c r="A535" s="1">
        <v>534</v>
      </c>
      <c r="B535" s="1">
        <v>0.29861666570000001</v>
      </c>
      <c r="C535" s="1">
        <v>-0.89215228540000002</v>
      </c>
      <c r="D535" s="1">
        <v>-0.38674380559999999</v>
      </c>
      <c r="E535" s="1">
        <v>1.0171914199000001</v>
      </c>
    </row>
    <row r="536" spans="1:5" x14ac:dyDescent="0.3">
      <c r="A536" s="1">
        <v>535</v>
      </c>
      <c r="B536" s="1">
        <v>0.31473879519999998</v>
      </c>
      <c r="C536" s="1">
        <v>-0.88745858479999995</v>
      </c>
      <c r="D536" s="1">
        <v>-0.38470861909999998</v>
      </c>
      <c r="E536" s="1">
        <v>1.0171745034999999</v>
      </c>
    </row>
    <row r="537" spans="1:5" x14ac:dyDescent="0.3">
      <c r="A537" s="1">
        <v>536</v>
      </c>
      <c r="B537" s="1">
        <v>0.33077239419999999</v>
      </c>
      <c r="C537" s="1">
        <v>-0.88251528079999997</v>
      </c>
      <c r="D537" s="1">
        <v>-0.38256523079999999</v>
      </c>
      <c r="E537" s="1">
        <v>1.0171527680000001</v>
      </c>
    </row>
    <row r="538" spans="1:5" x14ac:dyDescent="0.3">
      <c r="A538" s="1">
        <v>537</v>
      </c>
      <c r="B538" s="1">
        <v>0.34671294720000001</v>
      </c>
      <c r="C538" s="1">
        <v>-0.87732374830000004</v>
      </c>
      <c r="D538" s="1">
        <v>-0.38031423679999998</v>
      </c>
      <c r="E538" s="1">
        <v>1.0171262191999999</v>
      </c>
    </row>
    <row r="539" spans="1:5" x14ac:dyDescent="0.3">
      <c r="A539" s="1">
        <v>538</v>
      </c>
      <c r="B539" s="1">
        <v>0.36255596289999997</v>
      </c>
      <c r="C539" s="1">
        <v>-0.87188542840000005</v>
      </c>
      <c r="D539" s="1">
        <v>-0.3779562622</v>
      </c>
      <c r="E539" s="1">
        <v>1.0170948640999999</v>
      </c>
    </row>
    <row r="540" spans="1:5" x14ac:dyDescent="0.3">
      <c r="A540" s="1">
        <v>539</v>
      </c>
      <c r="B540" s="1">
        <v>0.37829697550000002</v>
      </c>
      <c r="C540" s="1">
        <v>-0.86620182869999995</v>
      </c>
      <c r="D540" s="1">
        <v>-0.37549196039999999</v>
      </c>
      <c r="E540" s="1">
        <v>1.0170587112</v>
      </c>
    </row>
    <row r="541" spans="1:5" x14ac:dyDescent="0.3">
      <c r="A541" s="1">
        <v>540</v>
      </c>
      <c r="B541" s="1">
        <v>0.39393154530000002</v>
      </c>
      <c r="C541" s="1">
        <v>-0.86027452240000002</v>
      </c>
      <c r="D541" s="1">
        <v>-0.3729220137</v>
      </c>
      <c r="E541" s="1">
        <v>1.01701777</v>
      </c>
    </row>
    <row r="542" spans="1:5" x14ac:dyDescent="0.3">
      <c r="A542" s="1">
        <v>541</v>
      </c>
      <c r="B542" s="1">
        <v>0.40945526030000001</v>
      </c>
      <c r="C542" s="1">
        <v>-0.85410514829999995</v>
      </c>
      <c r="D542" s="1">
        <v>-0.37024713259999997</v>
      </c>
      <c r="E542" s="1">
        <v>1.0169720516</v>
      </c>
    </row>
    <row r="543" spans="1:5" x14ac:dyDescent="0.3">
      <c r="A543" s="1">
        <v>542</v>
      </c>
      <c r="B543" s="1">
        <v>0.42486373690000001</v>
      </c>
      <c r="C543" s="1">
        <v>-0.84769541029999995</v>
      </c>
      <c r="D543" s="1">
        <v>-0.36746805580000003</v>
      </c>
      <c r="E543" s="1">
        <v>1.0169215680999999</v>
      </c>
    </row>
    <row r="544" spans="1:5" x14ac:dyDescent="0.3">
      <c r="A544" s="1">
        <v>543</v>
      </c>
      <c r="B544" s="1">
        <v>0.44015262109999997</v>
      </c>
      <c r="C544" s="1">
        <v>-0.84104707720000005</v>
      </c>
      <c r="D544" s="1">
        <v>-0.3645855502</v>
      </c>
      <c r="E544" s="1">
        <v>1.0168663330000001</v>
      </c>
    </row>
    <row r="545" spans="1:5" x14ac:dyDescent="0.3">
      <c r="A545" s="1">
        <v>544</v>
      </c>
      <c r="B545" s="1">
        <v>0.4553175894</v>
      </c>
      <c r="C545" s="1">
        <v>-0.83416198180000001</v>
      </c>
      <c r="D545" s="1">
        <v>-0.36160041059999998</v>
      </c>
      <c r="E545" s="1">
        <v>1.0168063612</v>
      </c>
    </row>
    <row r="546" spans="1:5" x14ac:dyDescent="0.3">
      <c r="A546" s="1">
        <v>545</v>
      </c>
      <c r="B546" s="1">
        <v>0.47035435040000001</v>
      </c>
      <c r="C546" s="1">
        <v>-0.82704202140000005</v>
      </c>
      <c r="D546" s="1">
        <v>-0.35851345940000001</v>
      </c>
      <c r="E546" s="1">
        <v>1.0167416685999999</v>
      </c>
    </row>
    <row r="547" spans="1:5" x14ac:dyDescent="0.3">
      <c r="A547" s="1">
        <v>546</v>
      </c>
      <c r="B547" s="1">
        <v>0.48525864499999999</v>
      </c>
      <c r="C547" s="1">
        <v>-0.81968915639999995</v>
      </c>
      <c r="D547" s="1">
        <v>-0.35532554669999999</v>
      </c>
      <c r="E547" s="1">
        <v>1.0166722724999999</v>
      </c>
    </row>
    <row r="548" spans="1:5" x14ac:dyDescent="0.3">
      <c r="A548" s="1">
        <v>547</v>
      </c>
      <c r="B548" s="1">
        <v>0.50002624819999997</v>
      </c>
      <c r="C548" s="1">
        <v>-0.81210541049999996</v>
      </c>
      <c r="D548" s="1">
        <v>-0.35203754990000002</v>
      </c>
      <c r="E548" s="1">
        <v>1.0165981916</v>
      </c>
    </row>
    <row r="549" spans="1:5" x14ac:dyDescent="0.3">
      <c r="A549" s="1">
        <v>548</v>
      </c>
      <c r="B549" s="1">
        <v>0.51465296979999997</v>
      </c>
      <c r="C549" s="1">
        <v>-0.80429287039999997</v>
      </c>
      <c r="D549" s="1">
        <v>-0.34865037360000001</v>
      </c>
      <c r="E549" s="1">
        <v>1.0165194458</v>
      </c>
    </row>
    <row r="550" spans="1:5" x14ac:dyDescent="0.3">
      <c r="A550" s="1">
        <v>549</v>
      </c>
      <c r="B550" s="1">
        <v>0.52913465540000004</v>
      </c>
      <c r="C550" s="1">
        <v>-0.7962536845</v>
      </c>
      <c r="D550" s="1">
        <v>-0.34516494939999998</v>
      </c>
      <c r="E550" s="1">
        <v>1.0164360560000001</v>
      </c>
    </row>
    <row r="551" spans="1:5" x14ac:dyDescent="0.3">
      <c r="A551" s="1">
        <v>550</v>
      </c>
      <c r="B551" s="1">
        <v>0.5434671875</v>
      </c>
      <c r="C551" s="1">
        <v>-0.78799006360000001</v>
      </c>
      <c r="D551" s="1">
        <v>-0.34158223570000001</v>
      </c>
      <c r="E551" s="1">
        <v>1.0163480447</v>
      </c>
    </row>
    <row r="552" spans="1:5" x14ac:dyDescent="0.3">
      <c r="A552" s="1">
        <v>551</v>
      </c>
      <c r="B552" s="1">
        <v>0.55764648679999995</v>
      </c>
      <c r="C552" s="1">
        <v>-0.77950427950000001</v>
      </c>
      <c r="D552" s="1">
        <v>-0.33790321750000002</v>
      </c>
      <c r="E552" s="1">
        <v>1.0162554355</v>
      </c>
    </row>
    <row r="553" spans="1:5" x14ac:dyDescent="0.3">
      <c r="A553" s="1">
        <v>552</v>
      </c>
      <c r="B553" s="1">
        <v>0.57166851259999996</v>
      </c>
      <c r="C553" s="1">
        <v>-0.77079866480000003</v>
      </c>
      <c r="D553" s="1">
        <v>-0.334128906</v>
      </c>
      <c r="E553" s="1">
        <v>1.0161582533</v>
      </c>
    </row>
    <row r="554" spans="1:5" x14ac:dyDescent="0.3">
      <c r="A554" s="1">
        <v>553</v>
      </c>
      <c r="B554" s="1">
        <v>0.58552926449999998</v>
      </c>
      <c r="C554" s="1">
        <v>-0.76187561270000004</v>
      </c>
      <c r="D554" s="1">
        <v>-0.33026033900000001</v>
      </c>
      <c r="E554" s="1">
        <v>1.0160565241999999</v>
      </c>
    </row>
    <row r="555" spans="1:5" x14ac:dyDescent="0.3">
      <c r="A555" s="1">
        <v>554</v>
      </c>
      <c r="B555" s="1">
        <v>0.59922478300000004</v>
      </c>
      <c r="C555" s="1">
        <v>-0.75273757610000003</v>
      </c>
      <c r="D555" s="1">
        <v>-0.32629857969999998</v>
      </c>
      <c r="E555" s="1">
        <v>1.0159502754</v>
      </c>
    </row>
    <row r="556" spans="1:5" x14ac:dyDescent="0.3">
      <c r="A556" s="1">
        <v>555</v>
      </c>
      <c r="B556" s="1">
        <v>0.61275115069999997</v>
      </c>
      <c r="C556" s="1">
        <v>-0.74338706720000003</v>
      </c>
      <c r="D556" s="1">
        <v>-0.3222447175</v>
      </c>
      <c r="E556" s="1">
        <v>1.0158395357000001</v>
      </c>
    </row>
    <row r="557" spans="1:5" x14ac:dyDescent="0.3">
      <c r="A557" s="1">
        <v>556</v>
      </c>
      <c r="B557" s="1">
        <v>0.62610449300000004</v>
      </c>
      <c r="C557" s="1">
        <v>-0.73382665709999995</v>
      </c>
      <c r="D557" s="1">
        <v>-0.31809986689999997</v>
      </c>
      <c r="E557" s="1">
        <v>1.0157243347</v>
      </c>
    </row>
    <row r="558" spans="1:5" x14ac:dyDescent="0.3">
      <c r="A558" s="1">
        <v>557</v>
      </c>
      <c r="B558" s="1">
        <v>0.63928097969999997</v>
      </c>
      <c r="C558" s="1">
        <v>-0.72405897509999995</v>
      </c>
      <c r="D558" s="1">
        <v>-0.31386516780000001</v>
      </c>
      <c r="E558" s="1">
        <v>1.0156047036</v>
      </c>
    </row>
    <row r="559" spans="1:5" x14ac:dyDescent="0.3">
      <c r="A559" s="1">
        <v>558</v>
      </c>
      <c r="B559" s="1">
        <v>0.65227682519999997</v>
      </c>
      <c r="C559" s="1">
        <v>-0.71408670819999998</v>
      </c>
      <c r="D559" s="1">
        <v>-0.30954178529999998</v>
      </c>
      <c r="E559" s="1">
        <v>1.0154806746</v>
      </c>
    </row>
    <row r="560" spans="1:5" x14ac:dyDescent="0.3">
      <c r="A560" s="1">
        <v>559</v>
      </c>
      <c r="B560" s="1">
        <v>0.66508829039999995</v>
      </c>
      <c r="C560" s="1">
        <v>-0.70391260040000003</v>
      </c>
      <c r="D560" s="1">
        <v>-0.30513090900000001</v>
      </c>
      <c r="E560" s="1">
        <v>1.0153522811</v>
      </c>
    </row>
    <row r="561" spans="1:5" x14ac:dyDescent="0.3">
      <c r="A561" s="1">
        <v>560</v>
      </c>
      <c r="B561" s="1">
        <v>0.67771168270000004</v>
      </c>
      <c r="C561" s="1">
        <v>-0.69353945250000004</v>
      </c>
      <c r="D561" s="1">
        <v>-0.300633753</v>
      </c>
      <c r="E561" s="1">
        <v>1.0152195578000001</v>
      </c>
    </row>
    <row r="562" spans="1:5" x14ac:dyDescent="0.3">
      <c r="A562" s="1">
        <v>561</v>
      </c>
      <c r="B562" s="1">
        <v>0.69014335780000002</v>
      </c>
      <c r="C562" s="1">
        <v>-0.68297012089999998</v>
      </c>
      <c r="D562" s="1">
        <v>-0.29605155579999998</v>
      </c>
      <c r="E562" s="1">
        <v>1.0150825404999999</v>
      </c>
    </row>
    <row r="563" spans="1:5" x14ac:dyDescent="0.3">
      <c r="A563" s="1">
        <v>562</v>
      </c>
      <c r="B563" s="1">
        <v>0.70237972019999995</v>
      </c>
      <c r="C563" s="1">
        <v>-0.67220751749999996</v>
      </c>
      <c r="D563" s="1">
        <v>-0.29138557990000002</v>
      </c>
      <c r="E563" s="1">
        <v>1.0149412662999999</v>
      </c>
    </row>
    <row r="564" spans="1:5" x14ac:dyDescent="0.3">
      <c r="A564" s="1">
        <v>563</v>
      </c>
      <c r="B564" s="1">
        <v>0.71441722439999999</v>
      </c>
      <c r="C564" s="1">
        <v>-0.66125460889999998</v>
      </c>
      <c r="D564" s="1">
        <v>-0.28663711130000002</v>
      </c>
      <c r="E564" s="1">
        <v>1.0147957734999999</v>
      </c>
    </row>
    <row r="565" spans="1:5" x14ac:dyDescent="0.3">
      <c r="A565" s="1">
        <v>564</v>
      </c>
      <c r="B565" s="1">
        <v>0.72625237580000002</v>
      </c>
      <c r="C565" s="1">
        <v>-0.65011441569999995</v>
      </c>
      <c r="D565" s="1">
        <v>-0.28180745950000002</v>
      </c>
      <c r="E565" s="1">
        <v>1.0146461014000001</v>
      </c>
    </row>
    <row r="566" spans="1:5" x14ac:dyDescent="0.3">
      <c r="A566" s="1">
        <v>565</v>
      </c>
      <c r="B566" s="1">
        <v>0.73788173140000002</v>
      </c>
      <c r="C566" s="1">
        <v>-0.63879001199999996</v>
      </c>
      <c r="D566" s="1">
        <v>-0.2768979573</v>
      </c>
      <c r="E566" s="1">
        <v>1.0144922906</v>
      </c>
    </row>
    <row r="567" spans="1:5" x14ac:dyDescent="0.3">
      <c r="A567" s="1">
        <v>566</v>
      </c>
      <c r="B567" s="1">
        <v>0.74930190119999995</v>
      </c>
      <c r="C567" s="1">
        <v>-0.62728452440000004</v>
      </c>
      <c r="D567" s="1">
        <v>-0.27190996029999998</v>
      </c>
      <c r="E567" s="1">
        <v>1.0143343829</v>
      </c>
    </row>
    <row r="568" spans="1:5" x14ac:dyDescent="0.3">
      <c r="A568" s="1">
        <v>567</v>
      </c>
      <c r="B568" s="1">
        <v>0.7605095489</v>
      </c>
      <c r="C568" s="1">
        <v>-0.61560113189999999</v>
      </c>
      <c r="D568" s="1">
        <v>-0.26684484650000001</v>
      </c>
      <c r="E568" s="1">
        <v>1.0141724211000001</v>
      </c>
    </row>
    <row r="569" spans="1:5" x14ac:dyDescent="0.3">
      <c r="A569" s="1">
        <v>568</v>
      </c>
      <c r="B569" s="1">
        <v>0.77150139259999995</v>
      </c>
      <c r="C569" s="1">
        <v>-0.60374306460000005</v>
      </c>
      <c r="D569" s="1">
        <v>-0.26170401640000002</v>
      </c>
      <c r="E569" s="1">
        <v>1.0140064492</v>
      </c>
    </row>
    <row r="570" spans="1:5" x14ac:dyDescent="0.3">
      <c r="A570" s="1">
        <v>569</v>
      </c>
      <c r="B570" s="1">
        <v>0.78227420619999999</v>
      </c>
      <c r="C570" s="1">
        <v>-0.59171360350000002</v>
      </c>
      <c r="D570" s="1">
        <v>-0.2564888924</v>
      </c>
      <c r="E570" s="1">
        <v>1.0138365125</v>
      </c>
    </row>
    <row r="571" spans="1:5" x14ac:dyDescent="0.3">
      <c r="A571" s="1">
        <v>570</v>
      </c>
      <c r="B571" s="1">
        <v>0.79282481999999999</v>
      </c>
      <c r="C571" s="1">
        <v>-0.57951607920000003</v>
      </c>
      <c r="D571" s="1">
        <v>-0.25120091830000002</v>
      </c>
      <c r="E571" s="1">
        <v>1.0136626572</v>
      </c>
    </row>
    <row r="572" spans="1:5" x14ac:dyDescent="0.3">
      <c r="A572" s="1">
        <v>571</v>
      </c>
      <c r="B572" s="1">
        <v>0.8031501217</v>
      </c>
      <c r="C572" s="1">
        <v>-0.567153872</v>
      </c>
      <c r="D572" s="1">
        <v>-0.24584155969999999</v>
      </c>
      <c r="E572" s="1">
        <v>1.0134849308</v>
      </c>
    </row>
    <row r="573" spans="1:5" x14ac:dyDescent="0.3">
      <c r="A573" s="1">
        <v>572</v>
      </c>
      <c r="B573" s="1">
        <v>0.81324705720000001</v>
      </c>
      <c r="C573" s="1">
        <v>-0.55463041020000003</v>
      </c>
      <c r="D573" s="1">
        <v>-0.24041230280000001</v>
      </c>
      <c r="E573" s="1">
        <v>1.0133033816999999</v>
      </c>
    </row>
    <row r="574" spans="1:5" x14ac:dyDescent="0.3">
      <c r="A574" s="1">
        <v>573</v>
      </c>
      <c r="B574" s="1">
        <v>0.82311263180000005</v>
      </c>
      <c r="C574" s="1">
        <v>-0.54194917009999999</v>
      </c>
      <c r="D574" s="1">
        <v>-0.2349146547</v>
      </c>
      <c r="E574" s="1">
        <v>1.0131180595</v>
      </c>
    </row>
    <row r="575" spans="1:5" x14ac:dyDescent="0.3">
      <c r="A575" s="1">
        <v>574</v>
      </c>
      <c r="B575" s="1">
        <v>0.83274391049999996</v>
      </c>
      <c r="C575" s="1">
        <v>-0.52911367490000005</v>
      </c>
      <c r="D575" s="1">
        <v>-0.22935014279999999</v>
      </c>
      <c r="E575" s="1">
        <v>1.0129290150000001</v>
      </c>
    </row>
    <row r="576" spans="1:5" x14ac:dyDescent="0.3">
      <c r="A576" s="1">
        <v>575</v>
      </c>
      <c r="B576" s="1">
        <v>0.84213801970000002</v>
      </c>
      <c r="C576" s="1">
        <v>-0.51612749400000002</v>
      </c>
      <c r="D576" s="1">
        <v>-0.22372031449999999</v>
      </c>
      <c r="E576" s="1">
        <v>1.0127363</v>
      </c>
    </row>
    <row r="577" spans="1:5" x14ac:dyDescent="0.3">
      <c r="A577" s="1">
        <v>576</v>
      </c>
      <c r="B577" s="1">
        <v>0.85129214710000001</v>
      </c>
      <c r="C577" s="1">
        <v>-0.50299424189999997</v>
      </c>
      <c r="D577" s="1">
        <v>-0.21802673689999999</v>
      </c>
      <c r="E577" s="1">
        <v>1.0125399671999999</v>
      </c>
    </row>
    <row r="578" spans="1:5" x14ac:dyDescent="0.3">
      <c r="A578" s="1">
        <v>577</v>
      </c>
      <c r="B578" s="1">
        <v>0.86020354359999995</v>
      </c>
      <c r="C578" s="1">
        <v>-0.48971757799999999</v>
      </c>
      <c r="D578" s="1">
        <v>-0.21227099629999999</v>
      </c>
      <c r="E578" s="1">
        <v>1.0123400706000001</v>
      </c>
    </row>
    <row r="579" spans="1:5" x14ac:dyDescent="0.3">
      <c r="A579" s="1">
        <v>578</v>
      </c>
      <c r="B579" s="1">
        <v>0.86886952319999999</v>
      </c>
      <c r="C579" s="1">
        <v>-0.47630120529999997</v>
      </c>
      <c r="D579" s="1">
        <v>-0.20645469799999999</v>
      </c>
      <c r="E579" s="1">
        <v>1.0121366651000001</v>
      </c>
    </row>
    <row r="580" spans="1:5" x14ac:dyDescent="0.3">
      <c r="A580" s="1">
        <v>579</v>
      </c>
      <c r="B580" s="1">
        <v>0.87728746449999995</v>
      </c>
      <c r="C580" s="1">
        <v>-0.46274886949999999</v>
      </c>
      <c r="D580" s="1">
        <v>-0.20057946600000001</v>
      </c>
      <c r="E580" s="1">
        <v>1.0119298067</v>
      </c>
    </row>
    <row r="581" spans="1:5" x14ac:dyDescent="0.3">
      <c r="A581" s="1">
        <v>580</v>
      </c>
      <c r="B581" s="1">
        <v>0.88545481110000002</v>
      </c>
      <c r="C581" s="1">
        <v>-0.44906435839999997</v>
      </c>
      <c r="D581" s="1">
        <v>-0.19464694239999999</v>
      </c>
      <c r="E581" s="1">
        <v>1.0117195524</v>
      </c>
    </row>
    <row r="582" spans="1:5" x14ac:dyDescent="0.3">
      <c r="A582" s="1">
        <v>581</v>
      </c>
      <c r="B582" s="1">
        <v>0.8933690728</v>
      </c>
      <c r="C582" s="1">
        <v>-0.43525150130000001</v>
      </c>
      <c r="D582" s="1">
        <v>-0.1886587871</v>
      </c>
      <c r="E582" s="1">
        <v>1.0115059602000001</v>
      </c>
    </row>
    <row r="583" spans="1:5" x14ac:dyDescent="0.3">
      <c r="A583" s="1">
        <v>582</v>
      </c>
      <c r="B583" s="1">
        <v>0.90102782599999998</v>
      </c>
      <c r="C583" s="1">
        <v>-0.42131416719999998</v>
      </c>
      <c r="D583" s="1">
        <v>-0.18261667770000001</v>
      </c>
      <c r="E583" s="1">
        <v>1.0112890890999999</v>
      </c>
    </row>
    <row r="584" spans="1:5" x14ac:dyDescent="0.3">
      <c r="A584" s="1">
        <v>583</v>
      </c>
      <c r="B584" s="1">
        <v>0.90842871489999999</v>
      </c>
      <c r="C584" s="1">
        <v>-0.4072562649</v>
      </c>
      <c r="D584" s="1">
        <v>-0.17652230839999999</v>
      </c>
      <c r="E584" s="1">
        <v>1.0110689989999999</v>
      </c>
    </row>
    <row r="585" spans="1:5" x14ac:dyDescent="0.3">
      <c r="A585" s="1">
        <v>584</v>
      </c>
      <c r="B585" s="1">
        <v>0.91556945199999995</v>
      </c>
      <c r="C585" s="1">
        <v>-0.39308174150000003</v>
      </c>
      <c r="D585" s="1">
        <v>-0.17037739060000001</v>
      </c>
      <c r="E585" s="1">
        <v>1.0108457509</v>
      </c>
    </row>
    <row r="586" spans="1:5" x14ac:dyDescent="0.3">
      <c r="A586" s="1">
        <v>585</v>
      </c>
      <c r="B586" s="1">
        <v>0.92244781899999995</v>
      </c>
      <c r="C586" s="1">
        <v>-0.37879458170000002</v>
      </c>
      <c r="D586" s="1">
        <v>-0.16418365169999999</v>
      </c>
      <c r="E586" s="1">
        <v>1.0106194068000001</v>
      </c>
    </row>
    <row r="587" spans="1:5" x14ac:dyDescent="0.3">
      <c r="A587" s="1">
        <v>586</v>
      </c>
      <c r="B587" s="1">
        <v>0.92906166759999997</v>
      </c>
      <c r="C587" s="1">
        <v>-0.36439880679999997</v>
      </c>
      <c r="D587" s="1">
        <v>-0.1579428349</v>
      </c>
      <c r="E587" s="1">
        <v>1.0103900294999999</v>
      </c>
    </row>
    <row r="588" spans="1:5" x14ac:dyDescent="0.3">
      <c r="A588" s="1">
        <v>587</v>
      </c>
      <c r="B588" s="1">
        <v>0.93540892009999999</v>
      </c>
      <c r="C588" s="1">
        <v>-0.34989847369999999</v>
      </c>
      <c r="D588" s="1">
        <v>-0.15165669909999999</v>
      </c>
      <c r="E588" s="1">
        <v>1.0101576827000001</v>
      </c>
    </row>
    <row r="589" spans="1:5" x14ac:dyDescent="0.3">
      <c r="A589" s="1">
        <v>588</v>
      </c>
      <c r="B589" s="1">
        <v>0.94148757019999996</v>
      </c>
      <c r="C589" s="1">
        <v>-0.33529767389999998</v>
      </c>
      <c r="D589" s="1">
        <v>-0.14532701789999999</v>
      </c>
      <c r="E589" s="1">
        <v>1.0099224311999999</v>
      </c>
    </row>
    <row r="590" spans="1:5" x14ac:dyDescent="0.3">
      <c r="A590" s="1">
        <v>589</v>
      </c>
      <c r="B590" s="1">
        <v>0.94729568389999996</v>
      </c>
      <c r="C590" s="1">
        <v>-0.32060053300000002</v>
      </c>
      <c r="D590" s="1">
        <v>-0.13895557989999999</v>
      </c>
      <c r="E590" s="1">
        <v>1.0096843406</v>
      </c>
    </row>
    <row r="591" spans="1:5" x14ac:dyDescent="0.3">
      <c r="A591" s="1">
        <v>590</v>
      </c>
      <c r="B591" s="1">
        <v>0.9528314</v>
      </c>
      <c r="C591" s="1">
        <v>-0.30581120880000001</v>
      </c>
      <c r="D591" s="1">
        <v>-0.1325441876</v>
      </c>
      <c r="E591" s="1">
        <v>1.0094434773000001</v>
      </c>
    </row>
    <row r="592" spans="1:5" x14ac:dyDescent="0.3">
      <c r="A592" s="1">
        <v>591</v>
      </c>
      <c r="B592" s="1">
        <v>0.95809293090000003</v>
      </c>
      <c r="C592" s="1">
        <v>-0.29093389110000001</v>
      </c>
      <c r="D592" s="1">
        <v>-0.12609465719999999</v>
      </c>
      <c r="E592" s="1">
        <v>1.0091999087000001</v>
      </c>
    </row>
    <row r="593" spans="1:5" x14ac:dyDescent="0.3">
      <c r="A593" s="1">
        <v>592</v>
      </c>
      <c r="B593" s="1">
        <v>0.96307856319999996</v>
      </c>
      <c r="C593" s="1">
        <v>-0.2759728004</v>
      </c>
      <c r="D593" s="1">
        <v>-0.11960881850000001</v>
      </c>
      <c r="E593" s="1">
        <v>1.008953703</v>
      </c>
    </row>
    <row r="594" spans="1:5" x14ac:dyDescent="0.3">
      <c r="A594" s="1">
        <v>593</v>
      </c>
      <c r="B594" s="1">
        <v>0.96778665850000001</v>
      </c>
      <c r="C594" s="1">
        <v>-0.26093218670000001</v>
      </c>
      <c r="D594" s="1">
        <v>-0.113088514</v>
      </c>
      <c r="E594" s="1">
        <v>1.0087049293000001</v>
      </c>
    </row>
    <row r="595" spans="1:5" x14ac:dyDescent="0.3">
      <c r="A595" s="1">
        <v>594</v>
      </c>
      <c r="B595" s="1">
        <v>0.97221565409999999</v>
      </c>
      <c r="C595" s="1">
        <v>-0.24581632880000001</v>
      </c>
      <c r="D595" s="1">
        <v>-0.1065355984</v>
      </c>
      <c r="E595" s="1">
        <v>1.0084536575</v>
      </c>
    </row>
    <row r="596" spans="1:5" x14ac:dyDescent="0.3">
      <c r="A596" s="1">
        <v>595</v>
      </c>
      <c r="B596" s="1">
        <v>0.97636406340000004</v>
      </c>
      <c r="C596" s="1">
        <v>-0.23062953280000001</v>
      </c>
      <c r="D596" s="1">
        <v>-9.9951938599999998E-2</v>
      </c>
      <c r="E596" s="1">
        <v>1.0081999582000001</v>
      </c>
    </row>
    <row r="597" spans="1:5" x14ac:dyDescent="0.3">
      <c r="A597" s="1">
        <v>596</v>
      </c>
      <c r="B597" s="1">
        <v>0.98023047659999996</v>
      </c>
      <c r="C597" s="1">
        <v>-0.21537613150000001</v>
      </c>
      <c r="D597" s="1">
        <v>-9.3339412900000002E-2</v>
      </c>
      <c r="E597" s="1">
        <v>1.0079439028999999</v>
      </c>
    </row>
    <row r="598" spans="1:5" x14ac:dyDescent="0.3">
      <c r="A598" s="1">
        <v>597</v>
      </c>
      <c r="B598" s="1">
        <v>0.98381356170000001</v>
      </c>
      <c r="C598" s="1">
        <v>-0.20006048279999999</v>
      </c>
      <c r="D598" s="1">
        <v>-8.6699910500000005E-2</v>
      </c>
      <c r="E598" s="1">
        <v>1.0076855638</v>
      </c>
    </row>
    <row r="599" spans="1:5" x14ac:dyDescent="0.3">
      <c r="A599" s="1">
        <v>598</v>
      </c>
      <c r="B599" s="1">
        <v>0.98711206460000001</v>
      </c>
      <c r="C599" s="1">
        <v>-0.1846869693</v>
      </c>
      <c r="D599" s="1">
        <v>-8.0035331400000007E-2</v>
      </c>
      <c r="E599" s="1">
        <v>1.0074250140000001</v>
      </c>
    </row>
    <row r="600" spans="1:5" x14ac:dyDescent="0.3">
      <c r="A600" s="1">
        <v>599</v>
      </c>
      <c r="B600" s="1">
        <v>0.99012480979999995</v>
      </c>
      <c r="C600" s="1">
        <v>-0.16925999620000001</v>
      </c>
      <c r="D600" s="1">
        <v>-7.3347585100000001E-2</v>
      </c>
      <c r="E600" s="1">
        <v>1.0071623273000001</v>
      </c>
    </row>
    <row r="601" spans="1:5" x14ac:dyDescent="0.3">
      <c r="A601" s="1">
        <v>600</v>
      </c>
      <c r="B601" s="1">
        <v>0.99285070109999995</v>
      </c>
      <c r="C601" s="1">
        <v>-0.15378399130000001</v>
      </c>
      <c r="D601" s="1">
        <v>-6.6638591299999994E-2</v>
      </c>
      <c r="E601" s="1">
        <v>1.006897578</v>
      </c>
    </row>
    <row r="602" spans="1:5" x14ac:dyDescent="0.3">
      <c r="A602" s="1">
        <v>601</v>
      </c>
      <c r="B602" s="1">
        <v>0.99528872229999998</v>
      </c>
      <c r="C602" s="1">
        <v>-0.13826340279999999</v>
      </c>
      <c r="D602" s="1">
        <v>-5.9910278300000001E-2</v>
      </c>
      <c r="E602" s="1">
        <v>1.0066308413</v>
      </c>
    </row>
    <row r="603" spans="1:5" x14ac:dyDescent="0.3">
      <c r="A603" s="1">
        <v>602</v>
      </c>
      <c r="B603" s="1">
        <v>0.99743793729999997</v>
      </c>
      <c r="C603" s="1">
        <v>-0.1227026989</v>
      </c>
      <c r="D603" s="1">
        <v>-5.3164583000000001E-2</v>
      </c>
      <c r="E603" s="1">
        <v>1.0063621932</v>
      </c>
    </row>
    <row r="604" spans="1:5" x14ac:dyDescent="0.3">
      <c r="A604" s="1">
        <v>603</v>
      </c>
      <c r="B604" s="1">
        <v>0.99929749079999997</v>
      </c>
      <c r="C604" s="1">
        <v>-0.10710636630000001</v>
      </c>
      <c r="D604" s="1">
        <v>-4.64034506E-2</v>
      </c>
      <c r="E604" s="1">
        <v>1.0060917101</v>
      </c>
    </row>
    <row r="605" spans="1:5" x14ac:dyDescent="0.3">
      <c r="A605" s="1">
        <v>604</v>
      </c>
      <c r="B605" s="1">
        <v>1.0008666092</v>
      </c>
      <c r="C605" s="1">
        <v>-9.1478909100000005E-2</v>
      </c>
      <c r="D605" s="1">
        <v>-3.9628833500000002E-2</v>
      </c>
      <c r="E605" s="1">
        <v>1.0058194692</v>
      </c>
    </row>
    <row r="606" spans="1:5" x14ac:dyDescent="0.3">
      <c r="A606" s="1">
        <v>605</v>
      </c>
      <c r="B606" s="1">
        <v>1.0021446003000001</v>
      </c>
      <c r="C606" s="1">
        <v>-7.5824847599999995E-2</v>
      </c>
      <c r="D606" s="1">
        <v>-3.2842691399999999E-2</v>
      </c>
      <c r="E606" s="1">
        <v>1.0055455483</v>
      </c>
    </row>
    <row r="607" spans="1:5" x14ac:dyDescent="0.3">
      <c r="A607" s="1">
        <v>606</v>
      </c>
      <c r="B607" s="1">
        <v>1.0031308543999999</v>
      </c>
      <c r="C607" s="1">
        <v>-6.0148716900000003E-2</v>
      </c>
      <c r="D607" s="1">
        <v>-2.60469903E-2</v>
      </c>
      <c r="E607" s="1">
        <v>1.0052700259</v>
      </c>
    </row>
    <row r="608" spans="1:5" x14ac:dyDescent="0.3">
      <c r="A608" s="1">
        <v>607</v>
      </c>
      <c r="B608" s="1">
        <v>1.0038248445</v>
      </c>
      <c r="C608" s="1">
        <v>-4.4455066299999998E-2</v>
      </c>
      <c r="D608" s="1">
        <v>-1.9243702299999998E-2</v>
      </c>
      <c r="E608" s="1">
        <v>1.0049929808</v>
      </c>
    </row>
    <row r="609" spans="1:5" x14ac:dyDescent="0.3">
      <c r="A609" s="1">
        <v>608</v>
      </c>
      <c r="B609" s="1">
        <v>1.0042261267999999</v>
      </c>
      <c r="C609" s="1">
        <v>-2.8748457099999999E-2</v>
      </c>
      <c r="D609" s="1">
        <v>-1.2434804799999999E-2</v>
      </c>
      <c r="E609" s="1">
        <v>1.0047144927</v>
      </c>
    </row>
    <row r="610" spans="1:5" x14ac:dyDescent="0.3">
      <c r="A610" s="1">
        <v>609</v>
      </c>
      <c r="B610" s="1">
        <v>1.0043343410000001</v>
      </c>
      <c r="C610" s="1">
        <v>-1.30334622E-2</v>
      </c>
      <c r="D610" s="1">
        <v>-5.6222800999999999E-3</v>
      </c>
      <c r="E610" s="1">
        <v>1.0044346418000001</v>
      </c>
    </row>
    <row r="611" spans="1:5" x14ac:dyDescent="0.3">
      <c r="A611" s="1">
        <v>610</v>
      </c>
      <c r="B611" s="1">
        <v>1.0041492106000001</v>
      </c>
      <c r="C611" s="1">
        <v>2.6853354999999998E-3</v>
      </c>
      <c r="D611" s="1">
        <v>1.1918848999999999E-3</v>
      </c>
      <c r="E611" s="1">
        <v>1.0041535085</v>
      </c>
    </row>
    <row r="612" spans="1:5" x14ac:dyDescent="0.3">
      <c r="A612" s="1">
        <v>611</v>
      </c>
      <c r="B612" s="1">
        <v>1.0036705436</v>
      </c>
      <c r="C612" s="1">
        <v>1.8403344200000001E-2</v>
      </c>
      <c r="D612" s="1">
        <v>8.0056998000000001E-3</v>
      </c>
      <c r="E612" s="1">
        <v>1.0038711741999999</v>
      </c>
    </row>
    <row r="613" spans="1:5" x14ac:dyDescent="0.3">
      <c r="A613" s="1">
        <v>612</v>
      </c>
      <c r="B613" s="1">
        <v>1.0028982325</v>
      </c>
      <c r="C613" s="1">
        <v>3.4115964999999998E-2</v>
      </c>
      <c r="D613" s="1">
        <v>1.4817170899999999E-2</v>
      </c>
      <c r="E613" s="1">
        <v>1.0035877203000001</v>
      </c>
    </row>
    <row r="614" spans="1:5" x14ac:dyDescent="0.3">
      <c r="A614" s="1">
        <v>613</v>
      </c>
      <c r="B614" s="1">
        <v>1.0018322549000001</v>
      </c>
      <c r="C614" s="1">
        <v>4.9818592299999999E-2</v>
      </c>
      <c r="D614" s="1">
        <v>2.1624301700000001E-2</v>
      </c>
      <c r="E614" s="1">
        <v>1.0033032290999999</v>
      </c>
    </row>
    <row r="615" spans="1:5" x14ac:dyDescent="0.3">
      <c r="A615" s="1">
        <v>614</v>
      </c>
      <c r="B615" s="1">
        <v>1.0004726735</v>
      </c>
      <c r="C615" s="1">
        <v>6.5506615899999995E-2</v>
      </c>
      <c r="D615" s="1">
        <v>2.8425093500000002E-2</v>
      </c>
      <c r="E615" s="1">
        <v>1.003017783</v>
      </c>
    </row>
    <row r="616" spans="1:5" x14ac:dyDescent="0.3">
      <c r="A616" s="1">
        <v>615</v>
      </c>
      <c r="B616" s="1">
        <v>0.99881963650000005</v>
      </c>
      <c r="C616" s="1">
        <v>8.1175421900000003E-2</v>
      </c>
      <c r="D616" s="1">
        <v>3.5217546299999999E-2</v>
      </c>
      <c r="E616" s="1">
        <v>1.0027314650000001</v>
      </c>
    </row>
    <row r="617" spans="1:5" x14ac:dyDescent="0.3">
      <c r="A617" s="1">
        <v>616</v>
      </c>
      <c r="B617" s="1">
        <v>0.99687337799999998</v>
      </c>
      <c r="C617" s="1">
        <v>9.6820394099999998E-2</v>
      </c>
      <c r="D617" s="1">
        <v>4.1999659000000002E-2</v>
      </c>
      <c r="E617" s="1">
        <v>1.0024443585</v>
      </c>
    </row>
    <row r="618" spans="1:5" x14ac:dyDescent="0.3">
      <c r="A618" s="1">
        <v>617</v>
      </c>
      <c r="B618" s="1">
        <v>0.99463421799999996</v>
      </c>
      <c r="C618" s="1">
        <v>0.1124369154</v>
      </c>
      <c r="D618" s="1">
        <v>4.8769429900000001E-2</v>
      </c>
      <c r="E618" s="1">
        <v>1.0021565471</v>
      </c>
    </row>
    <row r="619" spans="1:5" x14ac:dyDescent="0.3">
      <c r="A619" s="1">
        <v>618</v>
      </c>
      <c r="B619" s="1">
        <v>0.99210256279999998</v>
      </c>
      <c r="C619" s="1">
        <v>0.12802036889999999</v>
      </c>
      <c r="D619" s="1">
        <v>5.5524857800000001E-2</v>
      </c>
      <c r="E619" s="1">
        <v>1.0018681149999999</v>
      </c>
    </row>
    <row r="620" spans="1:5" x14ac:dyDescent="0.3">
      <c r="A620" s="1">
        <v>619</v>
      </c>
      <c r="B620" s="1">
        <v>0.98927890500000004</v>
      </c>
      <c r="C620" s="1">
        <v>0.14356613970000001</v>
      </c>
      <c r="D620" s="1">
        <v>6.2263941900000001E-2</v>
      </c>
      <c r="E620" s="1">
        <v>1.0015791465999999</v>
      </c>
    </row>
    <row r="621" spans="1:5" x14ac:dyDescent="0.3">
      <c r="A621" s="1">
        <v>620</v>
      </c>
      <c r="B621" s="1">
        <v>0.9861638237</v>
      </c>
      <c r="C621" s="1">
        <v>0.15906961580000001</v>
      </c>
      <c r="D621" s="1">
        <v>6.8984683000000005E-2</v>
      </c>
      <c r="E621" s="1">
        <v>1.0012897265</v>
      </c>
    </row>
    <row r="622" spans="1:5" x14ac:dyDescent="0.3">
      <c r="A622" s="1">
        <v>621</v>
      </c>
      <c r="B622" s="1">
        <v>0.98275798479999998</v>
      </c>
      <c r="C622" s="1">
        <v>0.17452618959999999</v>
      </c>
      <c r="D622" s="1">
        <v>7.5685083700000003E-2</v>
      </c>
      <c r="E622" s="1">
        <v>1.0009999398</v>
      </c>
    </row>
    <row r="623" spans="1:5" x14ac:dyDescent="0.3">
      <c r="A623" s="1">
        <v>622</v>
      </c>
      <c r="B623" s="1">
        <v>0.97906214079999998</v>
      </c>
      <c r="C623" s="1">
        <v>0.1899312594</v>
      </c>
      <c r="D623" s="1">
        <v>8.2363149199999999E-2</v>
      </c>
      <c r="E623" s="1">
        <v>1.0007098716</v>
      </c>
    </row>
    <row r="624" spans="1:5" x14ac:dyDescent="0.3">
      <c r="A624" s="1">
        <v>623</v>
      </c>
      <c r="B624" s="1">
        <v>0.97507713119999995</v>
      </c>
      <c r="C624" s="1">
        <v>0.20528023079999999</v>
      </c>
      <c r="D624" s="1">
        <v>8.9016887700000005E-2</v>
      </c>
      <c r="E624" s="1">
        <v>1.0004196076</v>
      </c>
    </row>
    <row r="625" spans="1:5" x14ac:dyDescent="0.3">
      <c r="A625" s="1">
        <v>624</v>
      </c>
      <c r="B625" s="1">
        <v>0.97080388230000003</v>
      </c>
      <c r="C625" s="1">
        <v>0.22056851769999999</v>
      </c>
      <c r="D625" s="1">
        <v>9.5644311300000007E-2</v>
      </c>
      <c r="E625" s="1">
        <v>1.0001292332</v>
      </c>
    </row>
    <row r="626" spans="1:5" x14ac:dyDescent="0.3">
      <c r="A626" s="1">
        <v>625</v>
      </c>
      <c r="B626" s="1">
        <v>0.96624340750000004</v>
      </c>
      <c r="C626" s="1">
        <v>0.2357915441</v>
      </c>
      <c r="D626" s="1">
        <v>0.1022434362</v>
      </c>
      <c r="E626" s="1">
        <v>0.9998388345</v>
      </c>
    </row>
    <row r="627" spans="1:5" x14ac:dyDescent="0.3">
      <c r="A627" s="1">
        <v>626</v>
      </c>
      <c r="B627" s="1">
        <v>0.96139680689999996</v>
      </c>
      <c r="C627" s="1">
        <v>0.25094474560000002</v>
      </c>
      <c r="D627" s="1">
        <v>0.10881228380000001</v>
      </c>
      <c r="E627" s="1">
        <v>0.99954849739999996</v>
      </c>
    </row>
    <row r="628" spans="1:5" x14ac:dyDescent="0.3">
      <c r="A628" s="1">
        <v>627</v>
      </c>
      <c r="B628" s="1">
        <v>0.95626526759999997</v>
      </c>
      <c r="C628" s="1">
        <v>0.26602357040000002</v>
      </c>
      <c r="D628" s="1">
        <v>0.1153488808</v>
      </c>
      <c r="E628" s="1">
        <v>0.99925830810000005</v>
      </c>
    </row>
    <row r="629" spans="1:5" x14ac:dyDescent="0.3">
      <c r="A629" s="1">
        <v>628</v>
      </c>
      <c r="B629" s="1">
        <v>0.95085006380000003</v>
      </c>
      <c r="C629" s="1">
        <v>0.28102348069999999</v>
      </c>
      <c r="D629" s="1">
        <v>0.12185126020000001</v>
      </c>
      <c r="E629" s="1">
        <v>0.99896835289999997</v>
      </c>
    </row>
    <row r="630" spans="1:5" x14ac:dyDescent="0.3">
      <c r="A630" s="1">
        <v>629</v>
      </c>
      <c r="B630" s="1">
        <v>0.94515255600000003</v>
      </c>
      <c r="C630" s="1">
        <v>0.2959399546</v>
      </c>
      <c r="D630" s="1">
        <v>0.1283174618</v>
      </c>
      <c r="E630" s="1">
        <v>0.99867871799999997</v>
      </c>
    </row>
    <row r="631" spans="1:5" x14ac:dyDescent="0.3">
      <c r="A631" s="1">
        <v>630</v>
      </c>
      <c r="B631" s="1">
        <v>0.93917419170000005</v>
      </c>
      <c r="C631" s="1">
        <v>0.3107684872</v>
      </c>
      <c r="D631" s="1">
        <v>0.1347455326</v>
      </c>
      <c r="E631" s="1">
        <v>0.99838948989999998</v>
      </c>
    </row>
    <row r="632" spans="1:5" x14ac:dyDescent="0.3">
      <c r="A632" s="1">
        <v>631</v>
      </c>
      <c r="B632" s="1">
        <v>0.93291650479999999</v>
      </c>
      <c r="C632" s="1">
        <v>0.32550459209999999</v>
      </c>
      <c r="D632" s="1">
        <v>0.1411335279</v>
      </c>
      <c r="E632" s="1">
        <v>0.99810075499999995</v>
      </c>
    </row>
    <row r="633" spans="1:5" x14ac:dyDescent="0.3">
      <c r="A633" s="1">
        <v>632</v>
      </c>
      <c r="B633" s="1">
        <v>0.92638111570000004</v>
      </c>
      <c r="C633" s="1">
        <v>0.34014380249999998</v>
      </c>
      <c r="D633" s="1">
        <v>0.1474795113</v>
      </c>
      <c r="E633" s="1">
        <v>0.99781259970000002</v>
      </c>
    </row>
    <row r="634" spans="1:5" x14ac:dyDescent="0.3">
      <c r="A634" s="1">
        <v>633</v>
      </c>
      <c r="B634" s="1">
        <v>0.91956973080000004</v>
      </c>
      <c r="C634" s="1">
        <v>0.3546816733</v>
      </c>
      <c r="D634" s="1">
        <v>0.1537815558</v>
      </c>
      <c r="E634" s="1">
        <v>0.99752511050000003</v>
      </c>
    </row>
    <row r="635" spans="1:5" x14ac:dyDescent="0.3">
      <c r="A635" s="1">
        <v>634</v>
      </c>
      <c r="B635" s="1">
        <v>0.91248414239999998</v>
      </c>
      <c r="C635" s="1">
        <v>0.369113782</v>
      </c>
      <c r="D635" s="1">
        <v>0.16003774439999999</v>
      </c>
      <c r="E635" s="1">
        <v>0.99723837360000001</v>
      </c>
    </row>
    <row r="636" spans="1:5" x14ac:dyDescent="0.3">
      <c r="A636" s="1">
        <v>635</v>
      </c>
      <c r="B636" s="1">
        <v>0.90512622860000003</v>
      </c>
      <c r="C636" s="1">
        <v>0.38343573019999999</v>
      </c>
      <c r="D636" s="1">
        <v>0.16624617050000001</v>
      </c>
      <c r="E636" s="1">
        <v>0.99695247529999997</v>
      </c>
    </row>
    <row r="637" spans="1:5" x14ac:dyDescent="0.3">
      <c r="A637" s="1">
        <v>636</v>
      </c>
      <c r="B637" s="1">
        <v>0.89749795290000001</v>
      </c>
      <c r="C637" s="1">
        <v>0.39764314550000002</v>
      </c>
      <c r="D637" s="1">
        <v>0.17240493849999999</v>
      </c>
      <c r="E637" s="1">
        <v>0.99666750189999997</v>
      </c>
    </row>
    <row r="638" spans="1:5" x14ac:dyDescent="0.3">
      <c r="A638" s="1">
        <v>637</v>
      </c>
      <c r="B638" s="1">
        <v>0.88960136369999998</v>
      </c>
      <c r="C638" s="1">
        <v>0.41173168230000001</v>
      </c>
      <c r="D638" s="1">
        <v>0.1785121647</v>
      </c>
      <c r="E638" s="1">
        <v>0.99638353940000002</v>
      </c>
    </row>
    <row r="639" spans="1:5" x14ac:dyDescent="0.3">
      <c r="A639" s="1">
        <v>638</v>
      </c>
      <c r="B639" s="1">
        <v>0.88143859440000005</v>
      </c>
      <c r="C639" s="1">
        <v>0.4256970236</v>
      </c>
      <c r="D639" s="1">
        <v>0.1845659778</v>
      </c>
      <c r="E639" s="1">
        <v>0.99610067349999998</v>
      </c>
    </row>
    <row r="640" spans="1:5" x14ac:dyDescent="0.3">
      <c r="A640" s="1">
        <v>639</v>
      </c>
      <c r="B640" s="1">
        <v>0.87301186259999997</v>
      </c>
      <c r="C640" s="1">
        <v>0.43953488239999999</v>
      </c>
      <c r="D640" s="1">
        <v>0.1905645192</v>
      </c>
      <c r="E640" s="1">
        <v>0.99581899009999997</v>
      </c>
    </row>
    <row r="641" spans="1:5" x14ac:dyDescent="0.3">
      <c r="A641" s="1">
        <v>640</v>
      </c>
      <c r="B641" s="1">
        <v>0.86432346979999997</v>
      </c>
      <c r="C641" s="1">
        <v>0.45324100309999998</v>
      </c>
      <c r="D641" s="1">
        <v>0.1965059445</v>
      </c>
      <c r="E641" s="1">
        <v>0.99553857459999995</v>
      </c>
    </row>
    <row r="642" spans="1:5" x14ac:dyDescent="0.3">
      <c r="A642" s="1">
        <v>641</v>
      </c>
      <c r="B642" s="1">
        <v>0.8553758011</v>
      </c>
      <c r="C642" s="1">
        <v>0.46681116309999998</v>
      </c>
      <c r="D642" s="1">
        <v>0.2023884229</v>
      </c>
      <c r="E642" s="1">
        <v>0.99525951229999998</v>
      </c>
    </row>
    <row r="643" spans="1:5" x14ac:dyDescent="0.3">
      <c r="A643" s="1">
        <v>642</v>
      </c>
      <c r="B643" s="1">
        <v>0.8461713246</v>
      </c>
      <c r="C643" s="1">
        <v>0.48024117389999998</v>
      </c>
      <c r="D643" s="1">
        <v>0.20821013890000001</v>
      </c>
      <c r="E643" s="1">
        <v>0.99498188809999999</v>
      </c>
    </row>
    <row r="644" spans="1:5" x14ac:dyDescent="0.3">
      <c r="A644" s="1">
        <v>643</v>
      </c>
      <c r="B644" s="1">
        <v>0.83671259080000004</v>
      </c>
      <c r="C644" s="1">
        <v>0.49352688290000002</v>
      </c>
      <c r="D644" s="1">
        <v>0.21396929240000001</v>
      </c>
      <c r="E644" s="1">
        <v>0.99470578659999997</v>
      </c>
    </row>
    <row r="645" spans="1:5" x14ac:dyDescent="0.3">
      <c r="A645" s="1">
        <v>644</v>
      </c>
      <c r="B645" s="1">
        <v>0.82700223260000005</v>
      </c>
      <c r="C645" s="1">
        <v>0.50666417460000002</v>
      </c>
      <c r="D645" s="1">
        <v>0.21966409940000001</v>
      </c>
      <c r="E645" s="1">
        <v>0.99443129230000005</v>
      </c>
    </row>
    <row r="646" spans="1:5" x14ac:dyDescent="0.3">
      <c r="A646" s="1">
        <v>645</v>
      </c>
      <c r="B646" s="1">
        <v>0.81704296379999997</v>
      </c>
      <c r="C646" s="1">
        <v>0.51964897229999996</v>
      </c>
      <c r="D646" s="1">
        <v>0.22529279260000001</v>
      </c>
      <c r="E646" s="1">
        <v>0.99415848910000004</v>
      </c>
    </row>
    <row r="647" spans="1:5" x14ac:dyDescent="0.3">
      <c r="A647" s="1">
        <v>646</v>
      </c>
      <c r="B647" s="1">
        <v>0.80683757950000001</v>
      </c>
      <c r="C647" s="1">
        <v>0.53247723889999998</v>
      </c>
      <c r="D647" s="1">
        <v>0.23085362209999999</v>
      </c>
      <c r="E647" s="1">
        <v>0.9938874607</v>
      </c>
    </row>
    <row r="648" spans="1:5" x14ac:dyDescent="0.3">
      <c r="A648" s="1">
        <v>647</v>
      </c>
      <c r="B648" s="1">
        <v>0.79638895480000005</v>
      </c>
      <c r="C648" s="1">
        <v>0.54514497930000005</v>
      </c>
      <c r="D648" s="1">
        <v>0.2363448561</v>
      </c>
      <c r="E648" s="1">
        <v>0.99361829030000004</v>
      </c>
    </row>
    <row r="649" spans="1:5" x14ac:dyDescent="0.3">
      <c r="A649" s="1">
        <v>648</v>
      </c>
      <c r="B649" s="1">
        <v>0.78570004429999996</v>
      </c>
      <c r="C649" s="1">
        <v>0.55764824099999999</v>
      </c>
      <c r="D649" s="1">
        <v>0.24176478100000001</v>
      </c>
      <c r="E649" s="1">
        <v>0.9933510606</v>
      </c>
    </row>
    <row r="650" spans="1:5" x14ac:dyDescent="0.3">
      <c r="A650" s="1">
        <v>649</v>
      </c>
      <c r="B650" s="1">
        <v>0.77477388140000003</v>
      </c>
      <c r="C650" s="1">
        <v>0.56998311570000004</v>
      </c>
      <c r="D650" s="1">
        <v>0.24711170299999999</v>
      </c>
      <c r="E650" s="1">
        <v>0.99308585390000004</v>
      </c>
    </row>
    <row r="651" spans="1:5" x14ac:dyDescent="0.3">
      <c r="A651" s="1">
        <v>650</v>
      </c>
      <c r="B651" s="1">
        <v>0.76361357799999996</v>
      </c>
      <c r="C651" s="1">
        <v>0.58214574090000004</v>
      </c>
      <c r="D651" s="1">
        <v>0.25238394749999998</v>
      </c>
      <c r="E651" s="1">
        <v>0.99282275210000004</v>
      </c>
    </row>
    <row r="652" spans="1:5" x14ac:dyDescent="0.3">
      <c r="A652" s="1">
        <v>651</v>
      </c>
      <c r="B652" s="1">
        <v>0.75222232290000002</v>
      </c>
      <c r="C652" s="1">
        <v>0.59413230139999995</v>
      </c>
      <c r="D652" s="1">
        <v>0.2575798607</v>
      </c>
      <c r="E652" s="1">
        <v>0.99256183639999995</v>
      </c>
    </row>
    <row r="653" spans="1:5" x14ac:dyDescent="0.3">
      <c r="A653" s="1">
        <v>652</v>
      </c>
      <c r="B653" s="1">
        <v>0.74060338169999995</v>
      </c>
      <c r="C653" s="1">
        <v>0.60593903000000005</v>
      </c>
      <c r="D653" s="1">
        <v>0.26269780980000002</v>
      </c>
      <c r="E653" s="1">
        <v>0.99230318770000003</v>
      </c>
    </row>
    <row r="654" spans="1:5" x14ac:dyDescent="0.3">
      <c r="A654" s="1">
        <v>653</v>
      </c>
      <c r="B654" s="1">
        <v>0.72876009580000001</v>
      </c>
      <c r="C654" s="1">
        <v>0.61756220979999998</v>
      </c>
      <c r="D654" s="1">
        <v>0.26773618339999999</v>
      </c>
      <c r="E654" s="1">
        <v>0.99204688600000002</v>
      </c>
    </row>
    <row r="655" spans="1:5" x14ac:dyDescent="0.3">
      <c r="A655" s="1">
        <v>654</v>
      </c>
      <c r="B655" s="1">
        <v>0.71669588129999995</v>
      </c>
      <c r="C655" s="1">
        <v>0.62899817499999999</v>
      </c>
      <c r="D655" s="1">
        <v>0.27269339240000001</v>
      </c>
      <c r="E655" s="1">
        <v>0.99179301099999995</v>
      </c>
    </row>
    <row r="656" spans="1:5" x14ac:dyDescent="0.3">
      <c r="A656" s="1">
        <v>655</v>
      </c>
      <c r="B656" s="1">
        <v>0.70441422860000003</v>
      </c>
      <c r="C656" s="1">
        <v>0.64024331209999996</v>
      </c>
      <c r="D656" s="1">
        <v>0.2775678707</v>
      </c>
      <c r="E656" s="1">
        <v>0.99154164150000001</v>
      </c>
    </row>
    <row r="657" spans="1:5" x14ac:dyDescent="0.3">
      <c r="A657" s="1">
        <v>656</v>
      </c>
      <c r="B657" s="1">
        <v>0.69191870079999995</v>
      </c>
      <c r="C657" s="1">
        <v>0.65129406190000005</v>
      </c>
      <c r="D657" s="1">
        <v>0.2823580752</v>
      </c>
      <c r="E657" s="1">
        <v>0.99129285590000005</v>
      </c>
    </row>
    <row r="658" spans="1:5" x14ac:dyDescent="0.3">
      <c r="A658" s="1">
        <v>657</v>
      </c>
      <c r="B658" s="1">
        <v>0.6792129335</v>
      </c>
      <c r="C658" s="1">
        <v>0.6621469203</v>
      </c>
      <c r="D658" s="1">
        <v>0.28706248709999999</v>
      </c>
      <c r="E658" s="1">
        <v>0.99104673180000002</v>
      </c>
    </row>
    <row r="659" spans="1:5" x14ac:dyDescent="0.3">
      <c r="A659" s="1">
        <v>658</v>
      </c>
      <c r="B659" s="1">
        <v>0.66630063319999999</v>
      </c>
      <c r="C659" s="1">
        <v>0.67279843969999997</v>
      </c>
      <c r="D659" s="1">
        <v>0.29167961190000002</v>
      </c>
      <c r="E659" s="1">
        <v>0.99080334589999997</v>
      </c>
    </row>
    <row r="660" spans="1:5" x14ac:dyDescent="0.3">
      <c r="A660" s="1">
        <v>659</v>
      </c>
      <c r="B660" s="1">
        <v>0.65318557659999998</v>
      </c>
      <c r="C660" s="1">
        <v>0.68324523059999998</v>
      </c>
      <c r="D660" s="1">
        <v>0.29620798030000001</v>
      </c>
      <c r="E660" s="1">
        <v>0.99056277449999997</v>
      </c>
    </row>
    <row r="661" spans="1:5" x14ac:dyDescent="0.3">
      <c r="A661" s="1">
        <v>660</v>
      </c>
      <c r="B661" s="1">
        <v>0.63987160949999999</v>
      </c>
      <c r="C661" s="1">
        <v>0.69348396239999999</v>
      </c>
      <c r="D661" s="1">
        <v>0.3006461487</v>
      </c>
      <c r="E661" s="1">
        <v>0.99032509280000003</v>
      </c>
    </row>
    <row r="662" spans="1:5" x14ac:dyDescent="0.3">
      <c r="A662" s="1">
        <v>661</v>
      </c>
      <c r="B662" s="1">
        <v>0.6263626457</v>
      </c>
      <c r="C662" s="1">
        <v>0.70351136520000002</v>
      </c>
      <c r="D662" s="1">
        <v>0.30499269969999998</v>
      </c>
      <c r="E662" s="1">
        <v>0.99009037550000001</v>
      </c>
    </row>
    <row r="663" spans="1:5" x14ac:dyDescent="0.3">
      <c r="A663" s="1">
        <v>662</v>
      </c>
      <c r="B663" s="1">
        <v>0.61266266579999995</v>
      </c>
      <c r="C663" s="1">
        <v>0.71332423069999995</v>
      </c>
      <c r="D663" s="1">
        <v>0.30924624239999998</v>
      </c>
      <c r="E663" s="1">
        <v>0.98985869630000001</v>
      </c>
    </row>
    <row r="664" spans="1:5" x14ac:dyDescent="0.3">
      <c r="A664" s="1">
        <v>663</v>
      </c>
      <c r="B664" s="1">
        <v>0.59877571640000005</v>
      </c>
      <c r="C664" s="1">
        <v>0.7229194136</v>
      </c>
      <c r="D664" s="1">
        <v>0.31340541360000002</v>
      </c>
      <c r="E664" s="1">
        <v>0.98963012800000005</v>
      </c>
    </row>
    <row r="665" spans="1:5" x14ac:dyDescent="0.3">
      <c r="A665" s="1">
        <v>664</v>
      </c>
      <c r="B665" s="1">
        <v>0.58470590820000001</v>
      </c>
      <c r="C665" s="1">
        <v>0.73229383280000004</v>
      </c>
      <c r="D665" s="1">
        <v>0.31746887759999998</v>
      </c>
      <c r="E665" s="1">
        <v>0.98940474270000001</v>
      </c>
    </row>
    <row r="666" spans="1:5" x14ac:dyDescent="0.3">
      <c r="A666" s="1">
        <v>665</v>
      </c>
      <c r="B666" s="1">
        <v>0.57045741569999997</v>
      </c>
      <c r="C666" s="1">
        <v>0.74144447260000002</v>
      </c>
      <c r="D666" s="1">
        <v>0.32143532740000003</v>
      </c>
      <c r="E666" s="1">
        <v>0.98918261149999998</v>
      </c>
    </row>
    <row r="667" spans="1:5" x14ac:dyDescent="0.3">
      <c r="A667" s="1">
        <v>666</v>
      </c>
      <c r="B667" s="1">
        <v>0.55603447539999995</v>
      </c>
      <c r="C667" s="1">
        <v>0.75036838400000005</v>
      </c>
      <c r="D667" s="1">
        <v>0.32530348440000001</v>
      </c>
      <c r="E667" s="1">
        <v>0.98896380449999999</v>
      </c>
    </row>
    <row r="668" spans="1:5" x14ac:dyDescent="0.3">
      <c r="A668" s="1">
        <v>667</v>
      </c>
      <c r="B668" s="1">
        <v>0.54144138460000002</v>
      </c>
      <c r="C668" s="1">
        <v>0.7590626855</v>
      </c>
      <c r="D668" s="1">
        <v>0.32907209990000003</v>
      </c>
      <c r="E668" s="1">
        <v>0.98874839079999999</v>
      </c>
    </row>
    <row r="669" spans="1:5" x14ac:dyDescent="0.3">
      <c r="A669" s="1">
        <v>668</v>
      </c>
      <c r="B669" s="1">
        <v>0.52668250009999995</v>
      </c>
      <c r="C669" s="1">
        <v>0.76752456479999998</v>
      </c>
      <c r="D669" s="1">
        <v>0.33273995470000001</v>
      </c>
      <c r="E669" s="1">
        <v>0.98853643889999998</v>
      </c>
    </row>
    <row r="670" spans="1:5" x14ac:dyDescent="0.3">
      <c r="A670" s="1">
        <v>669</v>
      </c>
      <c r="B670" s="1">
        <v>0.51176223710000002</v>
      </c>
      <c r="C670" s="1">
        <v>0.77575127970000002</v>
      </c>
      <c r="D670" s="1">
        <v>0.33630586019999997</v>
      </c>
      <c r="E670" s="1">
        <v>0.98832801579999996</v>
      </c>
    </row>
    <row r="671" spans="1:5" x14ac:dyDescent="0.3">
      <c r="A671" s="1">
        <v>670</v>
      </c>
      <c r="B671" s="1">
        <v>0.49668506759999997</v>
      </c>
      <c r="C671" s="1">
        <v>0.78374015880000003</v>
      </c>
      <c r="D671" s="1">
        <v>0.33976865839999998</v>
      </c>
      <c r="E671" s="1">
        <v>0.98812318769999996</v>
      </c>
    </row>
    <row r="672" spans="1:5" x14ac:dyDescent="0.3">
      <c r="A672" s="1">
        <v>671</v>
      </c>
      <c r="B672" s="1">
        <v>0.48145551910000001</v>
      </c>
      <c r="C672" s="1">
        <v>0.79148860330000004</v>
      </c>
      <c r="D672" s="1">
        <v>0.34312722299999998</v>
      </c>
      <c r="E672" s="1">
        <v>0.98792201980000005</v>
      </c>
    </row>
    <row r="673" spans="1:5" x14ac:dyDescent="0.3">
      <c r="A673" s="1">
        <v>672</v>
      </c>
      <c r="B673" s="1">
        <v>0.46607817330000001</v>
      </c>
      <c r="C673" s="1">
        <v>0.79899408760000001</v>
      </c>
      <c r="D673" s="1">
        <v>0.34638045909999998</v>
      </c>
      <c r="E673" s="1">
        <v>0.98772457599999997</v>
      </c>
    </row>
    <row r="674" spans="1:5" x14ac:dyDescent="0.3">
      <c r="A674" s="1">
        <v>673</v>
      </c>
      <c r="B674" s="1">
        <v>0.4505576644</v>
      </c>
      <c r="C674" s="1">
        <v>0.80625416049999998</v>
      </c>
      <c r="D674" s="1">
        <v>0.34952730430000001</v>
      </c>
      <c r="E674" s="1">
        <v>0.98753091940000004</v>
      </c>
    </row>
    <row r="675" spans="1:5" x14ac:dyDescent="0.3">
      <c r="A675" s="1">
        <v>674</v>
      </c>
      <c r="B675" s="1">
        <v>0.43489867780000002</v>
      </c>
      <c r="C675" s="1">
        <v>0.81326644609999998</v>
      </c>
      <c r="D675" s="1">
        <v>0.35256672880000001</v>
      </c>
      <c r="E675" s="1">
        <v>0.98734111160000004</v>
      </c>
    </row>
    <row r="676" spans="1:5" x14ac:dyDescent="0.3">
      <c r="A676" s="1">
        <v>675</v>
      </c>
      <c r="B676" s="1">
        <v>0.41910594890000002</v>
      </c>
      <c r="C676" s="1">
        <v>0.82002864499999994</v>
      </c>
      <c r="D676" s="1">
        <v>0.35549773579999999</v>
      </c>
      <c r="E676" s="1">
        <v>0.9871552133</v>
      </c>
    </row>
    <row r="677" spans="1:5" x14ac:dyDescent="0.3">
      <c r="A677" s="1">
        <v>676</v>
      </c>
      <c r="B677" s="1">
        <v>0.40318426080000003</v>
      </c>
      <c r="C677" s="1">
        <v>0.82653853499999996</v>
      </c>
      <c r="D677" s="1">
        <v>0.35831936219999999</v>
      </c>
      <c r="E677" s="1">
        <v>0.98697328399999995</v>
      </c>
    </row>
    <row r="678" spans="1:5" x14ac:dyDescent="0.3">
      <c r="A678" s="1">
        <v>677</v>
      </c>
      <c r="B678" s="1">
        <v>0.38713844359999999</v>
      </c>
      <c r="C678" s="1">
        <v>0.83279397219999995</v>
      </c>
      <c r="D678" s="1">
        <v>0.3610306787</v>
      </c>
      <c r="E678" s="1">
        <v>0.98679538190000005</v>
      </c>
    </row>
    <row r="679" spans="1:5" x14ac:dyDescent="0.3">
      <c r="A679" s="1">
        <v>678</v>
      </c>
      <c r="B679" s="1">
        <v>0.3709733724</v>
      </c>
      <c r="C679" s="1">
        <v>0.83879289199999996</v>
      </c>
      <c r="D679" s="1">
        <v>0.36363079050000002</v>
      </c>
      <c r="E679" s="1">
        <v>0.98662156400000001</v>
      </c>
    </row>
    <row r="680" spans="1:5" x14ac:dyDescent="0.3">
      <c r="A680" s="1">
        <v>679</v>
      </c>
      <c r="B680" s="1">
        <v>0.35469396559999999</v>
      </c>
      <c r="C680" s="1">
        <v>0.84453330979999996</v>
      </c>
      <c r="D680" s="1">
        <v>0.3661188373</v>
      </c>
      <c r="E680" s="1">
        <v>0.98645188610000001</v>
      </c>
    </row>
    <row r="681" spans="1:5" x14ac:dyDescent="0.3">
      <c r="A681" s="1">
        <v>680</v>
      </c>
      <c r="B681" s="1">
        <v>0.33830518370000001</v>
      </c>
      <c r="C681" s="1">
        <v>0.85001332169999999</v>
      </c>
      <c r="D681" s="1">
        <v>0.36849399389999998</v>
      </c>
      <c r="E681" s="1">
        <v>0.9862864026</v>
      </c>
    </row>
    <row r="682" spans="1:5" x14ac:dyDescent="0.3">
      <c r="A682" s="1">
        <v>681</v>
      </c>
      <c r="B682" s="1">
        <v>0.32181202730000003</v>
      </c>
      <c r="C682" s="1">
        <v>0.85523110599999996</v>
      </c>
      <c r="D682" s="1">
        <v>0.37075547079999999</v>
      </c>
      <c r="E682" s="1">
        <v>0.98612516679999995</v>
      </c>
    </row>
    <row r="683" spans="1:5" x14ac:dyDescent="0.3">
      <c r="A683" s="1">
        <v>682</v>
      </c>
      <c r="B683" s="1">
        <v>0.30521953559999998</v>
      </c>
      <c r="C683" s="1">
        <v>0.86018492310000005</v>
      </c>
      <c r="D683" s="1">
        <v>0.37290251400000002</v>
      </c>
      <c r="E683" s="1">
        <v>0.98596823060000005</v>
      </c>
    </row>
    <row r="684" spans="1:5" x14ac:dyDescent="0.3">
      <c r="A684" s="1">
        <v>683</v>
      </c>
      <c r="B684" s="1">
        <v>0.28853278459999998</v>
      </c>
      <c r="C684" s="1">
        <v>0.86487311700000002</v>
      </c>
      <c r="D684" s="1">
        <v>0.37493440569999997</v>
      </c>
      <c r="E684" s="1">
        <v>0.98581564450000003</v>
      </c>
    </row>
    <row r="685" spans="1:5" x14ac:dyDescent="0.3">
      <c r="A685" s="1">
        <v>684</v>
      </c>
      <c r="B685" s="1">
        <v>0.27175688549999999</v>
      </c>
      <c r="C685" s="1">
        <v>0.86929411570000004</v>
      </c>
      <c r="D685" s="1">
        <v>0.37685046459999999</v>
      </c>
      <c r="E685" s="1">
        <v>0.98566745759999996</v>
      </c>
    </row>
    <row r="686" spans="1:5" x14ac:dyDescent="0.3">
      <c r="A686" s="1">
        <v>685</v>
      </c>
      <c r="B686" s="1">
        <v>0.25489698309999997</v>
      </c>
      <c r="C686" s="1">
        <v>0.87344643180000003</v>
      </c>
      <c r="D686" s="1">
        <v>0.37865004610000003</v>
      </c>
      <c r="E686" s="1">
        <v>0.98552371790000004</v>
      </c>
    </row>
    <row r="687" spans="1:5" x14ac:dyDescent="0.3">
      <c r="A687" s="1">
        <v>686</v>
      </c>
      <c r="B687" s="1">
        <v>0.23795825379999999</v>
      </c>
      <c r="C687" s="1">
        <v>0.87732866350000005</v>
      </c>
      <c r="D687" s="1">
        <v>0.38033254249999998</v>
      </c>
      <c r="E687" s="1">
        <v>0.98538447179999999</v>
      </c>
    </row>
    <row r="688" spans="1:5" x14ac:dyDescent="0.3">
      <c r="A688" s="1">
        <v>687</v>
      </c>
      <c r="B688" s="1">
        <v>0.22094590380000001</v>
      </c>
      <c r="C688" s="1">
        <v>0.88093949490000001</v>
      </c>
      <c r="D688" s="1">
        <v>0.38189738369999998</v>
      </c>
      <c r="E688" s="1">
        <v>0.98524976419999999</v>
      </c>
    </row>
    <row r="689" spans="1:5" x14ac:dyDescent="0.3">
      <c r="A689" s="1">
        <v>688</v>
      </c>
      <c r="B689" s="1">
        <v>0.2038651678</v>
      </c>
      <c r="C689" s="1">
        <v>0.88427769690000002</v>
      </c>
      <c r="D689" s="1">
        <v>0.38334403690000002</v>
      </c>
      <c r="E689" s="1">
        <v>0.98511963869999997</v>
      </c>
    </row>
    <row r="690" spans="1:5" x14ac:dyDescent="0.3">
      <c r="A690" s="1">
        <v>689</v>
      </c>
      <c r="B690" s="1">
        <v>0.18672130649999999</v>
      </c>
      <c r="C690" s="1">
        <v>0.88734212759999997</v>
      </c>
      <c r="D690" s="1">
        <v>0.3846720072</v>
      </c>
      <c r="E690" s="1">
        <v>0.98499413749999998</v>
      </c>
    </row>
    <row r="691" spans="1:5" x14ac:dyDescent="0.3">
      <c r="A691" s="1">
        <v>690</v>
      </c>
      <c r="B691" s="1">
        <v>0.16951960529999999</v>
      </c>
      <c r="C691" s="1">
        <v>0.89013173290000003</v>
      </c>
      <c r="D691" s="1">
        <v>0.3858808379</v>
      </c>
      <c r="E691" s="1">
        <v>0.98487330120000005</v>
      </c>
    </row>
    <row r="692" spans="1:5" x14ac:dyDescent="0.3">
      <c r="A692" s="1">
        <v>691</v>
      </c>
      <c r="B692" s="1">
        <v>0.1522653726</v>
      </c>
      <c r="C692" s="1">
        <v>0.89264554679999997</v>
      </c>
      <c r="D692" s="1">
        <v>0.3869701103</v>
      </c>
      <c r="E692" s="1">
        <v>0.9847571691</v>
      </c>
    </row>
    <row r="693" spans="1:5" x14ac:dyDescent="0.3">
      <c r="A693" s="1">
        <v>692</v>
      </c>
      <c r="B693" s="1">
        <v>0.13496393719999999</v>
      </c>
      <c r="C693" s="1">
        <v>0.89488269220000005</v>
      </c>
      <c r="D693" s="1">
        <v>0.3879394444</v>
      </c>
      <c r="E693" s="1">
        <v>0.98464577880000004</v>
      </c>
    </row>
    <row r="694" spans="1:5" x14ac:dyDescent="0.3">
      <c r="A694" s="1">
        <v>693</v>
      </c>
      <c r="B694" s="1">
        <v>0.11762064730000001</v>
      </c>
      <c r="C694" s="1">
        <v>0.89684238130000005</v>
      </c>
      <c r="D694" s="1">
        <v>0.38878849869999998</v>
      </c>
      <c r="E694" s="1">
        <v>0.98453916649999995</v>
      </c>
    </row>
    <row r="695" spans="1:5" x14ac:dyDescent="0.3">
      <c r="A695" s="1">
        <v>694</v>
      </c>
      <c r="B695" s="1">
        <v>0.100240868</v>
      </c>
      <c r="C695" s="1">
        <v>0.89852391570000001</v>
      </c>
      <c r="D695" s="1">
        <v>0.38951697070000002</v>
      </c>
      <c r="E695" s="1">
        <v>0.98443736680000005</v>
      </c>
    </row>
    <row r="696" spans="1:5" x14ac:dyDescent="0.3">
      <c r="A696" s="1">
        <v>695</v>
      </c>
      <c r="B696" s="1">
        <v>8.2829979999999997E-2</v>
      </c>
      <c r="C696" s="1">
        <v>0.89992668689999999</v>
      </c>
      <c r="D696" s="1">
        <v>0.39012459669999999</v>
      </c>
      <c r="E696" s="1">
        <v>0.98434041279999995</v>
      </c>
    </row>
    <row r="697" spans="1:5" x14ac:dyDescent="0.3">
      <c r="A697" s="1">
        <v>696</v>
      </c>
      <c r="B697" s="1">
        <v>6.5393377099999997E-2</v>
      </c>
      <c r="C697" s="1">
        <v>0.90105017679999999</v>
      </c>
      <c r="D697" s="1">
        <v>0.39061115229999999</v>
      </c>
      <c r="E697" s="1">
        <v>0.98424833609999995</v>
      </c>
    </row>
    <row r="698" spans="1:5" x14ac:dyDescent="0.3">
      <c r="A698" s="1">
        <v>697</v>
      </c>
      <c r="B698" s="1">
        <v>4.7936464800000002E-2</v>
      </c>
      <c r="C698" s="1">
        <v>0.90189395780000003</v>
      </c>
      <c r="D698" s="1">
        <v>0.39097645219999999</v>
      </c>
      <c r="E698" s="1">
        <v>0.98416116669999998</v>
      </c>
    </row>
    <row r="699" spans="1:5" x14ac:dyDescent="0.3">
      <c r="A699" s="1">
        <v>698</v>
      </c>
      <c r="B699" s="1">
        <v>3.0464657900000001E-2</v>
      </c>
      <c r="C699" s="1">
        <v>0.90245769320000002</v>
      </c>
      <c r="D699" s="1">
        <v>0.3912203507</v>
      </c>
      <c r="E699" s="1">
        <v>0.98407893290000004</v>
      </c>
    </row>
    <row r="700" spans="1:5" x14ac:dyDescent="0.3">
      <c r="A700" s="1">
        <v>699</v>
      </c>
      <c r="B700" s="1">
        <v>1.2983379200000001E-2</v>
      </c>
      <c r="C700" s="1">
        <v>0.90274113720000004</v>
      </c>
      <c r="D700" s="1">
        <v>0.39134274130000002</v>
      </c>
      <c r="E700" s="1">
        <v>0.98400166160000002</v>
      </c>
    </row>
    <row r="701" spans="1:5" x14ac:dyDescent="0.3">
      <c r="A701" s="1">
        <v>700</v>
      </c>
      <c r="B701" s="1">
        <v>-4.5019429999999996E-3</v>
      </c>
      <c r="C701" s="1">
        <v>0.90274413509999996</v>
      </c>
      <c r="D701" s="1">
        <v>0.39134355720000003</v>
      </c>
      <c r="E701" s="1">
        <v>0.98392937790000001</v>
      </c>
    </row>
    <row r="702" spans="1:5" x14ac:dyDescent="0.3">
      <c r="A702" s="1">
        <v>701</v>
      </c>
      <c r="B702" s="1">
        <v>-2.1985876500000001E-2</v>
      </c>
      <c r="C702" s="1">
        <v>0.90246662389999999</v>
      </c>
      <c r="D702" s="1">
        <v>0.39122277119999999</v>
      </c>
      <c r="E702" s="1">
        <v>0.98386210549999997</v>
      </c>
    </row>
    <row r="703" spans="1:5" x14ac:dyDescent="0.3">
      <c r="A703" s="1">
        <v>702</v>
      </c>
      <c r="B703" s="1">
        <v>-3.9462987099999999E-2</v>
      </c>
      <c r="C703" s="1">
        <v>0.90190863170000002</v>
      </c>
      <c r="D703" s="1">
        <v>0.39098039550000002</v>
      </c>
      <c r="E703" s="1">
        <v>0.98379986630000005</v>
      </c>
    </row>
    <row r="704" spans="1:5" x14ac:dyDescent="0.3">
      <c r="A704" s="1">
        <v>703</v>
      </c>
      <c r="B704" s="1">
        <v>-5.6927840899999999E-2</v>
      </c>
      <c r="C704" s="1">
        <v>0.90107027819999996</v>
      </c>
      <c r="D704" s="1">
        <v>0.39061648230000001</v>
      </c>
      <c r="E704" s="1">
        <v>0.98374268050000002</v>
      </c>
    </row>
    <row r="705" spans="1:5" x14ac:dyDescent="0.3">
      <c r="A705" s="1">
        <v>704</v>
      </c>
      <c r="B705" s="1">
        <v>-7.4375005899999999E-2</v>
      </c>
      <c r="C705" s="1">
        <v>0.89995177469999998</v>
      </c>
      <c r="D705" s="1">
        <v>0.39013112329999999</v>
      </c>
      <c r="E705" s="1">
        <v>0.98369056700000002</v>
      </c>
    </row>
    <row r="706" spans="1:5" x14ac:dyDescent="0.3">
      <c r="A706" s="1">
        <v>705</v>
      </c>
      <c r="B706" s="1">
        <v>-9.1799054000000005E-2</v>
      </c>
      <c r="C706" s="1">
        <v>0.89855342390000004</v>
      </c>
      <c r="D706" s="1">
        <v>0.38952444980000001</v>
      </c>
      <c r="E706" s="1">
        <v>0.98364354269999998</v>
      </c>
    </row>
    <row r="707" spans="1:5" x14ac:dyDescent="0.3">
      <c r="A707" s="1">
        <v>706</v>
      </c>
      <c r="B707" s="1">
        <v>-0.1091945629</v>
      </c>
      <c r="C707" s="1">
        <v>0.8968756202</v>
      </c>
      <c r="D707" s="1">
        <v>0.38879663310000001</v>
      </c>
      <c r="E707" s="1">
        <v>0.98360162289999997</v>
      </c>
    </row>
    <row r="708" spans="1:5" x14ac:dyDescent="0.3">
      <c r="A708" s="1">
        <v>707</v>
      </c>
      <c r="B708" s="1">
        <v>-0.12655611850000001</v>
      </c>
      <c r="C708" s="1">
        <v>0.89491884909999997</v>
      </c>
      <c r="D708" s="1">
        <v>0.38794788359999999</v>
      </c>
      <c r="E708" s="1">
        <v>0.98356482150000002</v>
      </c>
    </row>
    <row r="709" spans="1:5" x14ac:dyDescent="0.3">
      <c r="A709" s="1">
        <v>708</v>
      </c>
      <c r="B709" s="1">
        <v>-0.14387831600000001</v>
      </c>
      <c r="C709" s="1">
        <v>0.89268368760000005</v>
      </c>
      <c r="D709" s="1">
        <v>0.3869784517</v>
      </c>
      <c r="E709" s="1">
        <v>0.9835331504</v>
      </c>
    </row>
    <row r="710" spans="1:5" x14ac:dyDescent="0.3">
      <c r="A710" s="1">
        <v>709</v>
      </c>
      <c r="B710" s="1">
        <v>-0.1611557626</v>
      </c>
      <c r="C710" s="1">
        <v>0.89017080339999999</v>
      </c>
      <c r="D710" s="1">
        <v>0.38588862699999998</v>
      </c>
      <c r="E710" s="1">
        <v>0.98350662</v>
      </c>
    </row>
    <row r="711" spans="1:5" x14ac:dyDescent="0.3">
      <c r="A711" s="1">
        <v>710</v>
      </c>
      <c r="B711" s="1">
        <v>-0.17838307910000001</v>
      </c>
      <c r="C711" s="1">
        <v>0.88738095559999997</v>
      </c>
      <c r="D711" s="1">
        <v>0.38467873870000002</v>
      </c>
      <c r="E711" s="1">
        <v>0.98348523899999996</v>
      </c>
    </row>
    <row r="712" spans="1:5" x14ac:dyDescent="0.3">
      <c r="A712" s="1">
        <v>711</v>
      </c>
      <c r="B712" s="1">
        <v>-0.19555490189999999</v>
      </c>
      <c r="C712" s="1">
        <v>0.88431499359999999</v>
      </c>
      <c r="D712" s="1">
        <v>0.38334915520000001</v>
      </c>
      <c r="E712" s="1">
        <v>0.98346901440000001</v>
      </c>
    </row>
    <row r="713" spans="1:5" x14ac:dyDescent="0.3">
      <c r="A713" s="1">
        <v>712</v>
      </c>
      <c r="B713" s="1">
        <v>-0.21266588480000001</v>
      </c>
      <c r="C713" s="1">
        <v>0.88097385709999998</v>
      </c>
      <c r="D713" s="1">
        <v>0.38190028399999998</v>
      </c>
      <c r="E713" s="1">
        <v>0.98345795150000004</v>
      </c>
    </row>
    <row r="714" spans="1:5" x14ac:dyDescent="0.3">
      <c r="A714" s="1">
        <v>713</v>
      </c>
      <c r="B714" s="1">
        <v>-0.2297107011</v>
      </c>
      <c r="C714" s="1">
        <v>0.87735857610000001</v>
      </c>
      <c r="D714" s="1">
        <v>0.38033257170000001</v>
      </c>
      <c r="E714" s="1">
        <v>0.98345205390000001</v>
      </c>
    </row>
    <row r="715" spans="1:5" x14ac:dyDescent="0.3">
      <c r="A715" s="1">
        <v>714</v>
      </c>
      <c r="B715" s="1">
        <v>-0.2466840454</v>
      </c>
      <c r="C715" s="1">
        <v>0.8734702701</v>
      </c>
      <c r="D715" s="1">
        <v>0.37864650389999999</v>
      </c>
      <c r="E715" s="1">
        <v>0.98345132359999998</v>
      </c>
    </row>
    <row r="716" spans="1:5" x14ac:dyDescent="0.3">
      <c r="A716" s="1">
        <v>715</v>
      </c>
      <c r="B716" s="1">
        <v>-0.26358063549999999</v>
      </c>
      <c r="C716" s="1">
        <v>0.86931014809999996</v>
      </c>
      <c r="D716" s="1">
        <v>0.37684260460000002</v>
      </c>
      <c r="E716" s="1">
        <v>0.98345576089999998</v>
      </c>
    </row>
    <row r="717" spans="1:5" x14ac:dyDescent="0.3">
      <c r="A717" s="1">
        <v>716</v>
      </c>
      <c r="B717" s="1">
        <v>-0.2803952146</v>
      </c>
      <c r="C717" s="1">
        <v>0.86487950749999998</v>
      </c>
      <c r="D717" s="1">
        <v>0.37492143659999999</v>
      </c>
      <c r="E717" s="1">
        <v>0.98346536419999997</v>
      </c>
    </row>
    <row r="718" spans="1:5" x14ac:dyDescent="0.3">
      <c r="A718" s="1">
        <v>717</v>
      </c>
      <c r="B718" s="1">
        <v>-0.29712255250000003</v>
      </c>
      <c r="C718" s="1">
        <v>0.86017973459999997</v>
      </c>
      <c r="D718" s="1">
        <v>0.37288360100000001</v>
      </c>
      <c r="E718" s="1">
        <v>0.98348013050000005</v>
      </c>
    </row>
    <row r="719" spans="1:5" x14ac:dyDescent="0.3">
      <c r="A719" s="1">
        <v>718</v>
      </c>
      <c r="B719" s="1">
        <v>-0.31375744820000001</v>
      </c>
      <c r="C719" s="1">
        <v>0.85521230339999998</v>
      </c>
      <c r="D719" s="1">
        <v>0.37072973679999999</v>
      </c>
      <c r="E719" s="1">
        <v>0.98350005490000003</v>
      </c>
    </row>
    <row r="720" spans="1:5" x14ac:dyDescent="0.3">
      <c r="A720" s="1">
        <v>719</v>
      </c>
      <c r="B720" s="1">
        <v>-0.33029473139999999</v>
      </c>
      <c r="C720" s="1">
        <v>0.84997877499999996</v>
      </c>
      <c r="D720" s="1">
        <v>0.36846052099999999</v>
      </c>
      <c r="E720" s="1">
        <v>0.98352513090000004</v>
      </c>
    </row>
    <row r="721" spans="1:5" x14ac:dyDescent="0.3">
      <c r="A721" s="1">
        <v>720</v>
      </c>
      <c r="B721" s="1">
        <v>-0.3467292642</v>
      </c>
      <c r="C721" s="1">
        <v>0.84448079760000005</v>
      </c>
      <c r="D721" s="1">
        <v>0.36607666820000001</v>
      </c>
      <c r="E721" s="1">
        <v>0.98355535029999996</v>
      </c>
    </row>
    <row r="722" spans="1:5" x14ac:dyDescent="0.3">
      <c r="A722" s="1">
        <v>721</v>
      </c>
      <c r="B722" s="1">
        <v>-0.36305594330000002</v>
      </c>
      <c r="C722" s="1">
        <v>0.83872010549999998</v>
      </c>
      <c r="D722" s="1">
        <v>0.36357893029999999</v>
      </c>
      <c r="E722" s="1">
        <v>0.98359070339999999</v>
      </c>
    </row>
    <row r="723" spans="1:5" x14ac:dyDescent="0.3">
      <c r="A723" s="1">
        <v>722</v>
      </c>
      <c r="B723" s="1">
        <v>-0.37926970160000001</v>
      </c>
      <c r="C723" s="1">
        <v>0.83269851809999995</v>
      </c>
      <c r="D723" s="1">
        <v>0.36096809629999999</v>
      </c>
      <c r="E723" s="1">
        <v>0.98363117840000003</v>
      </c>
    </row>
    <row r="724" spans="1:5" x14ac:dyDescent="0.3">
      <c r="A724" s="1">
        <v>723</v>
      </c>
      <c r="B724" s="1">
        <v>-0.39536550999999998</v>
      </c>
      <c r="C724" s="1">
        <v>0.82641794020000003</v>
      </c>
      <c r="D724" s="1">
        <v>0.35824499189999998</v>
      </c>
      <c r="E724" s="1">
        <v>0.98367676230000001</v>
      </c>
    </row>
    <row r="725" spans="1:5" x14ac:dyDescent="0.3">
      <c r="A725" s="1">
        <v>724</v>
      </c>
      <c r="B725" s="1">
        <v>-0.41133837940000001</v>
      </c>
      <c r="C725" s="1">
        <v>0.8198803603</v>
      </c>
      <c r="D725" s="1">
        <v>0.35541047939999998</v>
      </c>
      <c r="E725" s="1">
        <v>0.98372744010000002</v>
      </c>
    </row>
    <row r="726" spans="1:5" x14ac:dyDescent="0.3">
      <c r="A726" s="1">
        <v>725</v>
      </c>
      <c r="B726" s="1">
        <v>-0.4271833619</v>
      </c>
      <c r="C726" s="1">
        <v>0.81308785019999996</v>
      </c>
      <c r="D726" s="1">
        <v>0.35246545709999999</v>
      </c>
      <c r="E726" s="1">
        <v>0.98378319520000002</v>
      </c>
    </row>
    <row r="727" spans="1:5" x14ac:dyDescent="0.3">
      <c r="A727" s="1">
        <v>726</v>
      </c>
      <c r="B727" s="1">
        <v>-0.44289555330000002</v>
      </c>
      <c r="C727" s="1">
        <v>0.80604256439999999</v>
      </c>
      <c r="D727" s="1">
        <v>0.34941085910000003</v>
      </c>
      <c r="E727" s="1">
        <v>0.98384400959999996</v>
      </c>
    </row>
    <row r="728" spans="1:5" x14ac:dyDescent="0.3">
      <c r="A728" s="1">
        <v>727</v>
      </c>
      <c r="B728" s="1">
        <v>-0.45847009420000001</v>
      </c>
      <c r="C728" s="1">
        <v>0.79874673920000006</v>
      </c>
      <c r="D728" s="1">
        <v>0.34624765480000003</v>
      </c>
      <c r="E728" s="1">
        <v>0.98390986329999996</v>
      </c>
    </row>
    <row r="729" spans="1:5" x14ac:dyDescent="0.3">
      <c r="A729" s="1">
        <v>728</v>
      </c>
      <c r="B729" s="1">
        <v>-0.47390217210000002</v>
      </c>
      <c r="C729" s="1">
        <v>0.79120269139999999</v>
      </c>
      <c r="D729" s="1">
        <v>0.34297684890000002</v>
      </c>
      <c r="E729" s="1">
        <v>0.98398073490000004</v>
      </c>
    </row>
    <row r="730" spans="1:5" x14ac:dyDescent="0.3">
      <c r="A730" s="1">
        <v>729</v>
      </c>
      <c r="B730" s="1">
        <v>-0.48918702289999999</v>
      </c>
      <c r="C730" s="1">
        <v>0.78341281819999997</v>
      </c>
      <c r="D730" s="1">
        <v>0.33959948070000001</v>
      </c>
      <c r="E730" s="1">
        <v>0.98405660120000005</v>
      </c>
    </row>
    <row r="731" spans="1:5" x14ac:dyDescent="0.3">
      <c r="A731" s="1">
        <v>730</v>
      </c>
      <c r="B731" s="1">
        <v>-0.50431993249999996</v>
      </c>
      <c r="C731" s="1">
        <v>0.77537959550000002</v>
      </c>
      <c r="D731" s="1">
        <v>0.33611662349999999</v>
      </c>
      <c r="E731" s="1">
        <v>0.98413743760000005</v>
      </c>
    </row>
    <row r="732" spans="1:5" x14ac:dyDescent="0.3">
      <c r="A732" s="1">
        <v>731</v>
      </c>
      <c r="B732" s="1">
        <v>-0.51929623869999997</v>
      </c>
      <c r="C732" s="1">
        <v>0.76710557739999996</v>
      </c>
      <c r="D732" s="1">
        <v>0.33252938479999999</v>
      </c>
      <c r="E732" s="1">
        <v>0.98422321769999999</v>
      </c>
    </row>
    <row r="733" spans="1:5" x14ac:dyDescent="0.3">
      <c r="A733" s="1">
        <v>732</v>
      </c>
      <c r="B733" s="1">
        <v>-0.53411133239999997</v>
      </c>
      <c r="C733" s="1">
        <v>0.75859339530000003</v>
      </c>
      <c r="D733" s="1">
        <v>0.32883890529999998</v>
      </c>
      <c r="E733" s="1">
        <v>0.98431391349999997</v>
      </c>
    </row>
    <row r="734" spans="1:5" x14ac:dyDescent="0.3">
      <c r="A734" s="1">
        <v>733</v>
      </c>
      <c r="B734" s="1">
        <v>-0.54876065959999998</v>
      </c>
      <c r="C734" s="1">
        <v>0.74984575630000005</v>
      </c>
      <c r="D734" s="1">
        <v>0.32504635879999999</v>
      </c>
      <c r="E734" s="1">
        <v>0.98440949570000003</v>
      </c>
    </row>
    <row r="735" spans="1:5" x14ac:dyDescent="0.3">
      <c r="A735" s="1">
        <v>734</v>
      </c>
      <c r="B735" s="1">
        <v>-0.5632397227</v>
      </c>
      <c r="C735" s="1">
        <v>0.74086544300000001</v>
      </c>
      <c r="D735" s="1">
        <v>0.32115295170000002</v>
      </c>
      <c r="E735" s="1">
        <v>0.984509933</v>
      </c>
    </row>
    <row r="736" spans="1:5" x14ac:dyDescent="0.3">
      <c r="A736" s="1">
        <v>735</v>
      </c>
      <c r="B736" s="1">
        <v>-0.57754408209999997</v>
      </c>
      <c r="C736" s="1">
        <v>0.73165531169999998</v>
      </c>
      <c r="D736" s="1">
        <v>0.3171599222</v>
      </c>
      <c r="E736" s="1">
        <v>0.98461519289999999</v>
      </c>
    </row>
    <row r="737" spans="1:5" x14ac:dyDescent="0.3">
      <c r="A737" s="1">
        <v>736</v>
      </c>
      <c r="B737" s="1">
        <v>-0.59166935779999996</v>
      </c>
      <c r="C737" s="1">
        <v>0.72221829150000005</v>
      </c>
      <c r="D737" s="1">
        <v>0.31306854029999998</v>
      </c>
      <c r="E737" s="1">
        <v>0.98472524110000004</v>
      </c>
    </row>
    <row r="738" spans="1:5" x14ac:dyDescent="0.3">
      <c r="A738" s="1">
        <v>737</v>
      </c>
      <c r="B738" s="1">
        <v>-0.6056112307</v>
      </c>
      <c r="C738" s="1">
        <v>0.71255738359999998</v>
      </c>
      <c r="D738" s="1">
        <v>0.30888010710000002</v>
      </c>
      <c r="E738" s="1">
        <v>0.98484004199999997</v>
      </c>
    </row>
    <row r="739" spans="1:5" x14ac:dyDescent="0.3">
      <c r="A739" s="1">
        <v>738</v>
      </c>
      <c r="B739" s="1">
        <v>-0.61936544429999996</v>
      </c>
      <c r="C739" s="1">
        <v>0.70267565939999999</v>
      </c>
      <c r="D739" s="1">
        <v>0.30459595430000003</v>
      </c>
      <c r="E739" s="1">
        <v>0.98495955820000003</v>
      </c>
    </row>
    <row r="740" spans="1:5" x14ac:dyDescent="0.3">
      <c r="A740" s="1">
        <v>739</v>
      </c>
      <c r="B740" s="1">
        <v>-0.63292780559999995</v>
      </c>
      <c r="C740" s="1">
        <v>0.69257626009999995</v>
      </c>
      <c r="D740" s="1">
        <v>0.30021744369999998</v>
      </c>
      <c r="E740" s="1">
        <v>0.98508375110000002</v>
      </c>
    </row>
    <row r="741" spans="1:5" x14ac:dyDescent="0.3">
      <c r="A741" s="1">
        <v>740</v>
      </c>
      <c r="B741" s="1">
        <v>-0.64629418729999999</v>
      </c>
      <c r="C741" s="1">
        <v>0.68226239470000005</v>
      </c>
      <c r="D741" s="1">
        <v>0.2957459664</v>
      </c>
      <c r="E741" s="1">
        <v>0.98521258030000003</v>
      </c>
    </row>
    <row r="742" spans="1:5" x14ac:dyDescent="0.3">
      <c r="A742" s="1">
        <v>741</v>
      </c>
      <c r="B742" s="1">
        <v>-0.65946052850000003</v>
      </c>
      <c r="C742" s="1">
        <v>0.67173733950000003</v>
      </c>
      <c r="D742" s="1">
        <v>0.29118294290000002</v>
      </c>
      <c r="E742" s="1">
        <v>0.98534600429999997</v>
      </c>
    </row>
    <row r="743" spans="1:5" x14ac:dyDescent="0.3">
      <c r="A743" s="1">
        <v>742</v>
      </c>
      <c r="B743" s="1">
        <v>-0.67242283609999998</v>
      </c>
      <c r="C743" s="1">
        <v>0.66100443639999995</v>
      </c>
      <c r="D743" s="1">
        <v>0.2865298221</v>
      </c>
      <c r="E743" s="1">
        <v>0.98548397980000002</v>
      </c>
    </row>
    <row r="744" spans="1:5" x14ac:dyDescent="0.3">
      <c r="A744" s="1">
        <v>743</v>
      </c>
      <c r="B744" s="1">
        <v>-0.68517718650000003</v>
      </c>
      <c r="C744" s="1">
        <v>0.65006709159999998</v>
      </c>
      <c r="D744" s="1">
        <v>0.28178808059999999</v>
      </c>
      <c r="E744" s="1">
        <v>0.98562646220000005</v>
      </c>
    </row>
    <row r="745" spans="1:5" x14ac:dyDescent="0.3">
      <c r="A745" s="1">
        <v>744</v>
      </c>
      <c r="B745" s="1">
        <v>-0.69771972650000003</v>
      </c>
      <c r="C745" s="1">
        <v>0.63892877479999999</v>
      </c>
      <c r="D745" s="1">
        <v>0.27695922270000001</v>
      </c>
      <c r="E745" s="1">
        <v>0.98577340550000003</v>
      </c>
    </row>
    <row r="746" spans="1:5" x14ac:dyDescent="0.3">
      <c r="A746" s="1">
        <v>745</v>
      </c>
      <c r="B746" s="1">
        <v>-0.71004667450000003</v>
      </c>
      <c r="C746" s="1">
        <v>0.62759301720000005</v>
      </c>
      <c r="D746" s="1">
        <v>0.27204477929999998</v>
      </c>
      <c r="E746" s="1">
        <v>0.98592476240000004</v>
      </c>
    </row>
    <row r="747" spans="1:5" x14ac:dyDescent="0.3">
      <c r="A747" s="1">
        <v>746</v>
      </c>
      <c r="B747" s="1">
        <v>-0.72215432199999996</v>
      </c>
      <c r="C747" s="1">
        <v>0.61606341050000002</v>
      </c>
      <c r="D747" s="1">
        <v>0.26704630750000002</v>
      </c>
      <c r="E747" s="1">
        <v>0.98608048390000003</v>
      </c>
    </row>
    <row r="748" spans="1:5" x14ac:dyDescent="0.3">
      <c r="A748" s="1">
        <v>747</v>
      </c>
      <c r="B748" s="1">
        <v>-0.73403903449999996</v>
      </c>
      <c r="C748" s="1">
        <v>0.6043436056</v>
      </c>
      <c r="D748" s="1">
        <v>0.26196539009999997</v>
      </c>
      <c r="E748" s="1">
        <v>0.98624052009999996</v>
      </c>
    </row>
    <row r="749" spans="1:5" x14ac:dyDescent="0.3">
      <c r="A749" s="1">
        <v>748</v>
      </c>
      <c r="B749" s="1">
        <v>-0.74569725279999999</v>
      </c>
      <c r="C749" s="1">
        <v>0.59243731119999998</v>
      </c>
      <c r="D749" s="1">
        <v>0.25680363490000002</v>
      </c>
      <c r="E749" s="1">
        <v>0.98640481930000001</v>
      </c>
    </row>
    <row r="750" spans="1:5" x14ac:dyDescent="0.3">
      <c r="A750" s="1">
        <v>749</v>
      </c>
      <c r="B750" s="1">
        <v>-0.75712549409999996</v>
      </c>
      <c r="C750" s="1">
        <v>0.58034829219999995</v>
      </c>
      <c r="D750" s="1">
        <v>0.25156267399999999</v>
      </c>
      <c r="E750" s="1">
        <v>0.98657332870000003</v>
      </c>
    </row>
    <row r="751" spans="1:5" x14ac:dyDescent="0.3">
      <c r="A751" s="1">
        <v>750</v>
      </c>
      <c r="B751" s="1">
        <v>-0.76832035259999998</v>
      </c>
      <c r="C751" s="1">
        <v>0.56808036829999997</v>
      </c>
      <c r="D751" s="1">
        <v>0.24624416360000001</v>
      </c>
      <c r="E751" s="1">
        <v>0.98674599429999998</v>
      </c>
    </row>
    <row r="752" spans="1:5" x14ac:dyDescent="0.3">
      <c r="A752" s="1">
        <v>751</v>
      </c>
      <c r="B752" s="1">
        <v>-0.7792785015</v>
      </c>
      <c r="C752" s="1">
        <v>0.55563741290000002</v>
      </c>
      <c r="D752" s="1">
        <v>0.2408497828</v>
      </c>
      <c r="E752" s="1">
        <v>0.98692276059999995</v>
      </c>
    </row>
    <row r="753" spans="1:5" x14ac:dyDescent="0.3">
      <c r="A753" s="1">
        <v>752</v>
      </c>
      <c r="B753" s="1">
        <v>-0.78999669289999996</v>
      </c>
      <c r="C753" s="1">
        <v>0.54302335140000002</v>
      </c>
      <c r="D753" s="1">
        <v>0.23538123329999999</v>
      </c>
      <c r="E753" s="1">
        <v>0.98710357100000001</v>
      </c>
    </row>
    <row r="754" spans="1:5" x14ac:dyDescent="0.3">
      <c r="A754" s="1">
        <v>753</v>
      </c>
      <c r="B754" s="1">
        <v>-0.80047175950000005</v>
      </c>
      <c r="C754" s="1">
        <v>0.53024215939999997</v>
      </c>
      <c r="D754" s="1">
        <v>0.22984023880000001</v>
      </c>
      <c r="E754" s="1">
        <v>0.98728836760000005</v>
      </c>
    </row>
    <row r="755" spans="1:5" x14ac:dyDescent="0.3">
      <c r="A755" s="1">
        <v>754</v>
      </c>
      <c r="B755" s="1">
        <v>-0.81070061530000004</v>
      </c>
      <c r="C755" s="1">
        <v>0.51729786209999995</v>
      </c>
      <c r="D755" s="1">
        <v>0.22422854419999999</v>
      </c>
      <c r="E755" s="1">
        <v>0.98747709130000005</v>
      </c>
    </row>
    <row r="756" spans="1:5" x14ac:dyDescent="0.3">
      <c r="A756" s="1">
        <v>755</v>
      </c>
      <c r="B756" s="1">
        <v>-0.82068025639999997</v>
      </c>
      <c r="C756" s="1">
        <v>0.50419453189999996</v>
      </c>
      <c r="D756" s="1">
        <v>0.2185479149</v>
      </c>
      <c r="E756" s="1">
        <v>0.98766968180000003</v>
      </c>
    </row>
    <row r="757" spans="1:5" x14ac:dyDescent="0.3">
      <c r="A757" s="1">
        <v>756</v>
      </c>
      <c r="B757" s="1">
        <v>-0.83040776189999999</v>
      </c>
      <c r="C757" s="1">
        <v>0.4909362874</v>
      </c>
      <c r="D757" s="1">
        <v>0.21280013659999999</v>
      </c>
      <c r="E757" s="1">
        <v>0.98786607770000001</v>
      </c>
    </row>
    <row r="758" spans="1:5" x14ac:dyDescent="0.3">
      <c r="A758" s="1">
        <v>757</v>
      </c>
      <c r="B758" s="1">
        <v>-0.83988029480000004</v>
      </c>
      <c r="C758" s="1">
        <v>0.47752729170000002</v>
      </c>
      <c r="D758" s="1">
        <v>0.206987014</v>
      </c>
      <c r="E758" s="1">
        <v>0.98806621640000003</v>
      </c>
    </row>
    <row r="759" spans="1:5" x14ac:dyDescent="0.3">
      <c r="A759" s="1">
        <v>758</v>
      </c>
      <c r="B759" s="1">
        <v>-0.84909510269999999</v>
      </c>
      <c r="C759" s="1">
        <v>0.46397175089999998</v>
      </c>
      <c r="D759" s="1">
        <v>0.2011103706</v>
      </c>
      <c r="E759" s="1">
        <v>0.98827003410000003</v>
      </c>
    </row>
    <row r="760" spans="1:5" x14ac:dyDescent="0.3">
      <c r="A760" s="1">
        <v>759</v>
      </c>
      <c r="B760" s="1">
        <v>-0.8580495185</v>
      </c>
      <c r="C760" s="1">
        <v>0.4502739127</v>
      </c>
      <c r="D760" s="1">
        <v>0.1951720478</v>
      </c>
      <c r="E760" s="1">
        <v>0.98847746599999997</v>
      </c>
    </row>
    <row r="761" spans="1:5" x14ac:dyDescent="0.3">
      <c r="A761" s="1">
        <v>760</v>
      </c>
      <c r="B761" s="1">
        <v>-0.86674096119999999</v>
      </c>
      <c r="C761" s="1">
        <v>0.4364380645</v>
      </c>
      <c r="D761" s="1">
        <v>0.18917390440000001</v>
      </c>
      <c r="E761" s="1">
        <v>0.98868844639999998</v>
      </c>
    </row>
    <row r="762" spans="1:5" x14ac:dyDescent="0.3">
      <c r="A762" s="1">
        <v>761</v>
      </c>
      <c r="B762" s="1">
        <v>-0.87516693639999998</v>
      </c>
      <c r="C762" s="1">
        <v>0.42246853239999999</v>
      </c>
      <c r="D762" s="1">
        <v>0.18311781569999999</v>
      </c>
      <c r="E762" s="1">
        <v>0.98890290820000004</v>
      </c>
    </row>
    <row r="763" spans="1:5" x14ac:dyDescent="0.3">
      <c r="A763" s="1">
        <v>762</v>
      </c>
      <c r="B763" s="1">
        <v>-0.8833250373</v>
      </c>
      <c r="C763" s="1">
        <v>0.40836967909999999</v>
      </c>
      <c r="D763" s="1">
        <v>0.177005673</v>
      </c>
      <c r="E763" s="1">
        <v>0.9891207836</v>
      </c>
    </row>
    <row r="764" spans="1:5" x14ac:dyDescent="0.3">
      <c r="A764" s="1">
        <v>763</v>
      </c>
      <c r="B764" s="1">
        <v>-0.89121294480000002</v>
      </c>
      <c r="C764" s="1">
        <v>0.39414590240000003</v>
      </c>
      <c r="D764" s="1">
        <v>0.17083938300000001</v>
      </c>
      <c r="E764" s="1">
        <v>0.98934200360000002</v>
      </c>
    </row>
    <row r="765" spans="1:5" x14ac:dyDescent="0.3">
      <c r="A765" s="1">
        <v>764</v>
      </c>
      <c r="B765" s="1">
        <v>-0.89882842829999998</v>
      </c>
      <c r="C765" s="1">
        <v>0.37980163410000001</v>
      </c>
      <c r="D765" s="1">
        <v>0.1646208669</v>
      </c>
      <c r="E765" s="1">
        <v>0.98956649829999999</v>
      </c>
    </row>
    <row r="766" spans="1:5" x14ac:dyDescent="0.3">
      <c r="A766" s="1">
        <v>765</v>
      </c>
      <c r="B766" s="1">
        <v>-0.90616934650000003</v>
      </c>
      <c r="C766" s="1">
        <v>0.36534133769999999</v>
      </c>
      <c r="D766" s="1">
        <v>0.15835205969999999</v>
      </c>
      <c r="E766" s="1">
        <v>0.98979419700000004</v>
      </c>
    </row>
    <row r="767" spans="1:5" x14ac:dyDescent="0.3">
      <c r="A767" s="1">
        <v>766</v>
      </c>
      <c r="B767" s="1">
        <v>-0.9132336472</v>
      </c>
      <c r="C767" s="1">
        <v>0.35076950750000002</v>
      </c>
      <c r="D767" s="1">
        <v>0.1520349097</v>
      </c>
      <c r="E767" s="1">
        <v>0.99002502780000001</v>
      </c>
    </row>
    <row r="768" spans="1:5" x14ac:dyDescent="0.3">
      <c r="A768" s="1">
        <v>767</v>
      </c>
      <c r="B768" s="1">
        <v>-0.92001936849999999</v>
      </c>
      <c r="C768" s="1">
        <v>0.33609066650000002</v>
      </c>
      <c r="D768" s="1">
        <v>0.14567137769999999</v>
      </c>
      <c r="E768" s="1">
        <v>0.9902589181</v>
      </c>
    </row>
    <row r="769" spans="1:5" x14ac:dyDescent="0.3">
      <c r="A769" s="1">
        <v>768</v>
      </c>
      <c r="B769" s="1">
        <v>-0.92652463860000001</v>
      </c>
      <c r="C769" s="1">
        <v>0.32130936519999997</v>
      </c>
      <c r="D769" s="1">
        <v>0.1392634365</v>
      </c>
      <c r="E769" s="1">
        <v>0.99049579440000002</v>
      </c>
    </row>
    <row r="770" spans="1:5" x14ac:dyDescent="0.3">
      <c r="A770" s="1">
        <v>769</v>
      </c>
      <c r="B770" s="1">
        <v>-0.93274767650000001</v>
      </c>
      <c r="C770" s="1">
        <v>0.3064301794</v>
      </c>
      <c r="D770" s="1">
        <v>0.13281306979999999</v>
      </c>
      <c r="E770" s="1">
        <v>0.99073558250000004</v>
      </c>
    </row>
    <row r="771" spans="1:5" x14ac:dyDescent="0.3">
      <c r="A771" s="1">
        <v>770</v>
      </c>
      <c r="B771" s="1">
        <v>-0.93868679239999997</v>
      </c>
      <c r="C771" s="1">
        <v>0.2914577096</v>
      </c>
      <c r="D771" s="1">
        <v>0.1263222718</v>
      </c>
      <c r="E771" s="1">
        <v>0.99097820709999995</v>
      </c>
    </row>
    <row r="772" spans="1:5" x14ac:dyDescent="0.3">
      <c r="A772" s="1">
        <v>771</v>
      </c>
      <c r="B772" s="1">
        <v>-0.94434038769999995</v>
      </c>
      <c r="C772" s="1">
        <v>0.27639657829999997</v>
      </c>
      <c r="D772" s="1">
        <v>0.11979304659999999</v>
      </c>
      <c r="E772" s="1">
        <v>0.99122359250000003</v>
      </c>
    </row>
    <row r="773" spans="1:5" x14ac:dyDescent="0.3">
      <c r="A773" s="1">
        <v>772</v>
      </c>
      <c r="B773" s="1">
        <v>-0.94970695540000005</v>
      </c>
      <c r="C773" s="1">
        <v>0.26125142909999999</v>
      </c>
      <c r="D773" s="1">
        <v>0.1132274072</v>
      </c>
      <c r="E773" s="1">
        <v>0.99147166180000001</v>
      </c>
    </row>
    <row r="774" spans="1:5" x14ac:dyDescent="0.3">
      <c r="A774" s="1">
        <v>773</v>
      </c>
      <c r="B774" s="1">
        <v>-0.95478508070000001</v>
      </c>
      <c r="C774" s="1">
        <v>0.24602692500000001</v>
      </c>
      <c r="D774" s="1">
        <v>0.106627375</v>
      </c>
      <c r="E774" s="1">
        <v>0.99172233779999996</v>
      </c>
    </row>
    <row r="775" spans="1:5" x14ac:dyDescent="0.3">
      <c r="A775" s="1">
        <v>774</v>
      </c>
      <c r="B775" s="1">
        <v>-0.95957344040000003</v>
      </c>
      <c r="C775" s="1">
        <v>0.23072774660000001</v>
      </c>
      <c r="D775" s="1">
        <v>9.99949792E-2</v>
      </c>
      <c r="E775" s="1">
        <v>0.99197554229999996</v>
      </c>
    </row>
    <row r="776" spans="1:5" x14ac:dyDescent="0.3">
      <c r="A776" s="1">
        <v>775</v>
      </c>
      <c r="B776" s="1">
        <v>-0.9640708039</v>
      </c>
      <c r="C776" s="1">
        <v>0.21535859069999999</v>
      </c>
      <c r="D776" s="1">
        <v>9.3332255899999994E-2</v>
      </c>
      <c r="E776" s="1">
        <v>0.99223119660000003</v>
      </c>
    </row>
    <row r="777" spans="1:5" x14ac:dyDescent="0.3">
      <c r="A777" s="1">
        <v>776</v>
      </c>
      <c r="B777" s="1">
        <v>-0.96827603269999996</v>
      </c>
      <c r="C777" s="1">
        <v>0.19992416860000001</v>
      </c>
      <c r="D777" s="1">
        <v>8.6641247500000004E-2</v>
      </c>
      <c r="E777" s="1">
        <v>0.99248922129999995</v>
      </c>
    </row>
    <row r="778" spans="1:5" x14ac:dyDescent="0.3">
      <c r="A778" s="1">
        <v>777</v>
      </c>
      <c r="B778" s="1">
        <v>-0.97218808079999997</v>
      </c>
      <c r="C778" s="1">
        <v>0.18442920460000001</v>
      </c>
      <c r="D778" s="1">
        <v>7.9924002100000002E-2</v>
      </c>
      <c r="E778" s="1">
        <v>0.99274953639999997</v>
      </c>
    </row>
    <row r="779" spans="1:5" x14ac:dyDescent="0.3">
      <c r="A779" s="1">
        <v>778</v>
      </c>
      <c r="B779" s="1">
        <v>-0.97580599479999997</v>
      </c>
      <c r="C779" s="1">
        <v>0.1688784344</v>
      </c>
      <c r="D779" s="1">
        <v>7.3182572500000001E-2</v>
      </c>
      <c r="E779" s="1">
        <v>0.99301206129999997</v>
      </c>
    </row>
    <row r="780" spans="1:5" x14ac:dyDescent="0.3">
      <c r="A780" s="1">
        <v>779</v>
      </c>
      <c r="B780" s="1">
        <v>-0.97912891359999998</v>
      </c>
      <c r="C780" s="1">
        <v>0.1532766035</v>
      </c>
      <c r="D780" s="1">
        <v>6.6419015999999997E-2</v>
      </c>
      <c r="E780" s="1">
        <v>0.99327671490000002</v>
      </c>
    </row>
    <row r="781" spans="1:5" x14ac:dyDescent="0.3">
      <c r="A781" s="1">
        <v>780</v>
      </c>
      <c r="B781" s="1">
        <v>-0.98215606899999996</v>
      </c>
      <c r="C781" s="1">
        <v>0.1376284656</v>
      </c>
      <c r="D781" s="1">
        <v>5.96353934E-2</v>
      </c>
      <c r="E781" s="1">
        <v>0.99354341550000003</v>
      </c>
    </row>
    <row r="782" spans="1:5" x14ac:dyDescent="0.3">
      <c r="A782" s="1">
        <v>781</v>
      </c>
      <c r="B782" s="1">
        <v>-0.98488678470000002</v>
      </c>
      <c r="C782" s="1">
        <v>0.121938781</v>
      </c>
      <c r="D782" s="1">
        <v>5.2833768400000002E-2</v>
      </c>
      <c r="E782" s="1">
        <v>0.99381208089999995</v>
      </c>
    </row>
    <row r="783" spans="1:5" x14ac:dyDescent="0.3">
      <c r="A783" s="1">
        <v>782</v>
      </c>
      <c r="B783" s="1">
        <v>-0.98732047739999995</v>
      </c>
      <c r="C783" s="1">
        <v>0.1062123153</v>
      </c>
      <c r="D783" s="1">
        <v>4.6016206699999999E-2</v>
      </c>
      <c r="E783" s="1">
        <v>0.99408262849999995</v>
      </c>
    </row>
    <row r="784" spans="1:5" x14ac:dyDescent="0.3">
      <c r="A784" s="1">
        <v>783</v>
      </c>
      <c r="B784" s="1">
        <v>-0.98945665549999995</v>
      </c>
      <c r="C784" s="1">
        <v>9.0453837499999995E-2</v>
      </c>
      <c r="D784" s="1">
        <v>3.9184775999999998E-2</v>
      </c>
      <c r="E784" s="1">
        <v>0.99435497510000004</v>
      </c>
    </row>
    <row r="785" spans="1:5" x14ac:dyDescent="0.3">
      <c r="A785" s="1">
        <v>784</v>
      </c>
      <c r="B785" s="1">
        <v>-0.99129491999999997</v>
      </c>
      <c r="C785" s="1">
        <v>7.4668118699999994E-2</v>
      </c>
      <c r="D785" s="1">
        <v>3.2341544299999997E-2</v>
      </c>
      <c r="E785" s="1">
        <v>0.99462903729999996</v>
      </c>
    </row>
    <row r="786" spans="1:5" x14ac:dyDescent="0.3">
      <c r="A786" s="1">
        <v>785</v>
      </c>
      <c r="B786" s="1">
        <v>-0.99283496360000001</v>
      </c>
      <c r="C786" s="1">
        <v>5.8859930599999999E-2</v>
      </c>
      <c r="D786" s="1">
        <v>2.5488580399999999E-2</v>
      </c>
      <c r="E786" s="1">
        <v>0.9949047312</v>
      </c>
    </row>
    <row r="787" spans="1:5" x14ac:dyDescent="0.3">
      <c r="A787" s="1">
        <v>786</v>
      </c>
      <c r="B787" s="1">
        <v>-0.99407657090000001</v>
      </c>
      <c r="C787" s="1">
        <v>4.3034043799999998E-2</v>
      </c>
      <c r="D787" s="1">
        <v>1.86279523E-2</v>
      </c>
      <c r="E787" s="1">
        <v>0.99518197249999996</v>
      </c>
    </row>
    <row r="788" spans="1:5" x14ac:dyDescent="0.3">
      <c r="A788" s="1">
        <v>787</v>
      </c>
      <c r="B788" s="1">
        <v>-0.99501961790000004</v>
      </c>
      <c r="C788" s="1">
        <v>2.71952263E-2</v>
      </c>
      <c r="D788" s="1">
        <v>1.17617269E-2</v>
      </c>
      <c r="E788" s="1">
        <v>0.99546067660000004</v>
      </c>
    </row>
    <row r="789" spans="1:5" x14ac:dyDescent="0.3">
      <c r="A789" s="1">
        <v>788</v>
      </c>
      <c r="B789" s="1">
        <v>-0.99566407209999996</v>
      </c>
      <c r="C789" s="1">
        <v>1.1348242200000001E-2</v>
      </c>
      <c r="D789" s="1">
        <v>4.8919695000000001E-3</v>
      </c>
      <c r="E789" s="1">
        <v>0.9957407586</v>
      </c>
    </row>
    <row r="790" spans="1:5" x14ac:dyDescent="0.3">
      <c r="A790" s="1">
        <v>789</v>
      </c>
      <c r="B790" s="1">
        <v>-0.99600999160000003</v>
      </c>
      <c r="C790" s="1">
        <v>-4.5021499999999999E-3</v>
      </c>
      <c r="D790" s="1">
        <v>-1.9792570999999999E-3</v>
      </c>
      <c r="E790" s="1">
        <v>0.99602213340000001</v>
      </c>
    </row>
    <row r="791" spans="1:5" x14ac:dyDescent="0.3">
      <c r="A791" s="1">
        <v>790</v>
      </c>
      <c r="B791" s="1">
        <v>-0.99605752560000005</v>
      </c>
      <c r="C791" s="1">
        <v>-2.0351198899999999E-2</v>
      </c>
      <c r="D791" s="1">
        <v>-8.8498931000000006E-3</v>
      </c>
      <c r="E791" s="1">
        <v>0.99630471549999999</v>
      </c>
    </row>
    <row r="792" spans="1:5" x14ac:dyDescent="0.3">
      <c r="A792" s="1">
        <v>791</v>
      </c>
      <c r="B792" s="1">
        <v>-0.99580691320000003</v>
      </c>
      <c r="C792" s="1">
        <v>-3.6194161199999998E-2</v>
      </c>
      <c r="D792" s="1">
        <v>-1.5717882200000002E-2</v>
      </c>
      <c r="E792" s="1">
        <v>0.99658841929999997</v>
      </c>
    </row>
    <row r="793" spans="1:5" x14ac:dyDescent="0.3">
      <c r="A793" s="1">
        <v>792</v>
      </c>
      <c r="B793" s="1">
        <v>-0.99525848370000003</v>
      </c>
      <c r="C793" s="1">
        <v>-5.2026303900000001E-2</v>
      </c>
      <c r="D793" s="1">
        <v>-2.25811728E-2</v>
      </c>
      <c r="E793" s="1">
        <v>0.99687315889999994</v>
      </c>
    </row>
    <row r="794" spans="1:5" x14ac:dyDescent="0.3">
      <c r="A794" s="1">
        <v>793</v>
      </c>
      <c r="B794" s="1">
        <v>-0.99441265570000004</v>
      </c>
      <c r="C794" s="1">
        <v>-6.7842905199999998E-2</v>
      </c>
      <c r="D794" s="1">
        <v>-2.94377179E-2</v>
      </c>
      <c r="E794" s="1">
        <v>0.99715884840000002</v>
      </c>
    </row>
    <row r="795" spans="1:5" x14ac:dyDescent="0.3">
      <c r="A795" s="1">
        <v>794</v>
      </c>
      <c r="B795" s="1">
        <v>-0.99326993720000001</v>
      </c>
      <c r="C795" s="1">
        <v>-8.3639256100000003E-2</v>
      </c>
      <c r="D795" s="1">
        <v>-3.6285476099999998E-2</v>
      </c>
      <c r="E795" s="1">
        <v>0.99744540150000005</v>
      </c>
    </row>
    <row r="796" spans="1:5" x14ac:dyDescent="0.3">
      <c r="A796" s="1">
        <v>795</v>
      </c>
      <c r="B796" s="1">
        <v>-0.99183092449999999</v>
      </c>
      <c r="C796" s="1">
        <v>-9.94106617E-2</v>
      </c>
      <c r="D796" s="1">
        <v>-4.3122412200000002E-2</v>
      </c>
      <c r="E796" s="1">
        <v>0.99773273210000002</v>
      </c>
    </row>
    <row r="797" spans="1:5" x14ac:dyDescent="0.3">
      <c r="A797" s="1">
        <v>796</v>
      </c>
      <c r="B797" s="1">
        <v>-0.99009630209999999</v>
      </c>
      <c r="C797" s="1">
        <v>-0.1151524428</v>
      </c>
      <c r="D797" s="1">
        <v>-4.9946497899999998E-2</v>
      </c>
      <c r="E797" s="1">
        <v>0.99802075379999999</v>
      </c>
    </row>
    <row r="798" spans="1:5" x14ac:dyDescent="0.3">
      <c r="A798" s="1">
        <v>797</v>
      </c>
      <c r="B798" s="1">
        <v>-0.98806684219999996</v>
      </c>
      <c r="C798" s="1">
        <v>-0.1308599372</v>
      </c>
      <c r="D798" s="1">
        <v>-5.6755711899999998E-2</v>
      </c>
      <c r="E798" s="1">
        <v>0.99830938020000004</v>
      </c>
    </row>
    <row r="799" spans="1:5" x14ac:dyDescent="0.3">
      <c r="A799" s="1">
        <v>798</v>
      </c>
      <c r="B799" s="1">
        <v>-0.98574340410000005</v>
      </c>
      <c r="C799" s="1">
        <v>-0.14652850100000001</v>
      </c>
      <c r="D799" s="1">
        <v>-6.3548041099999994E-2</v>
      </c>
      <c r="E799" s="1">
        <v>0.99859852490000001</v>
      </c>
    </row>
    <row r="800" spans="1:5" x14ac:dyDescent="0.3">
      <c r="A800" s="1">
        <v>799</v>
      </c>
      <c r="B800" s="1">
        <v>-0.98312693360000003</v>
      </c>
      <c r="C800" s="1">
        <v>-0.16215350989999999</v>
      </c>
      <c r="D800" s="1">
        <v>-7.03214811E-2</v>
      </c>
      <c r="E800" s="1">
        <v>0.99888810130000005</v>
      </c>
    </row>
    <row r="801" spans="1:5" x14ac:dyDescent="0.3">
      <c r="A801" s="1">
        <v>800</v>
      </c>
      <c r="B801" s="1">
        <v>-0.98021846229999998</v>
      </c>
      <c r="C801" s="1">
        <v>-0.1777303609</v>
      </c>
      <c r="D801" s="1">
        <v>-7.7074036299999996E-2</v>
      </c>
      <c r="E801" s="1">
        <v>0.99917802320000004</v>
      </c>
    </row>
    <row r="802" spans="1:5" x14ac:dyDescent="0.3">
      <c r="A802" s="1">
        <v>801</v>
      </c>
      <c r="B802" s="1">
        <v>-0.97701910729999997</v>
      </c>
      <c r="C802" s="1">
        <v>-0.1932544732</v>
      </c>
      <c r="D802" s="1">
        <v>-8.3803720900000003E-2</v>
      </c>
      <c r="E802" s="1">
        <v>0.99946820410000003</v>
      </c>
    </row>
    <row r="803" spans="1:5" x14ac:dyDescent="0.3">
      <c r="A803" s="1">
        <v>802</v>
      </c>
      <c r="B803" s="1">
        <v>-0.97353007030000005</v>
      </c>
      <c r="C803" s="1">
        <v>-0.2087212896</v>
      </c>
      <c r="D803" s="1">
        <v>-9.0508559500000002E-2</v>
      </c>
      <c r="E803" s="1">
        <v>0.99975855769999999</v>
      </c>
    </row>
    <row r="804" spans="1:5" x14ac:dyDescent="0.3">
      <c r="A804" s="1">
        <v>803</v>
      </c>
      <c r="B804" s="1">
        <v>-0.96975263700000003</v>
      </c>
      <c r="C804" s="1">
        <v>-0.2241262779</v>
      </c>
      <c r="D804" s="1">
        <v>-9.7186587399999996E-2</v>
      </c>
      <c r="E804" s="1">
        <v>1.0000489979</v>
      </c>
    </row>
    <row r="805" spans="1:5" x14ac:dyDescent="0.3">
      <c r="A805" s="1">
        <v>804</v>
      </c>
      <c r="B805" s="1">
        <v>-0.96568817659999995</v>
      </c>
      <c r="C805" s="1">
        <v>-0.23946493229999999</v>
      </c>
      <c r="D805" s="1">
        <v>-0.1038358513</v>
      </c>
      <c r="E805" s="1">
        <v>1.0003394386</v>
      </c>
    </row>
    <row r="806" spans="1:5" x14ac:dyDescent="0.3">
      <c r="A806" s="1">
        <v>805</v>
      </c>
      <c r="B806" s="1">
        <v>-0.96133814090000003</v>
      </c>
      <c r="C806" s="1">
        <v>-0.25473277430000002</v>
      </c>
      <c r="D806" s="1">
        <v>-0.1104544098</v>
      </c>
      <c r="E806" s="1">
        <v>1.0006297936999999</v>
      </c>
    </row>
    <row r="807" spans="1:5" x14ac:dyDescent="0.3">
      <c r="A807" s="1">
        <v>806</v>
      </c>
      <c r="B807" s="1">
        <v>-0.95670406350000003</v>
      </c>
      <c r="C807" s="1">
        <v>-0.26992535429999998</v>
      </c>
      <c r="D807" s="1">
        <v>-0.117040334</v>
      </c>
      <c r="E807" s="1">
        <v>1.0009199777</v>
      </c>
    </row>
    <row r="808" spans="1:5" x14ac:dyDescent="0.3">
      <c r="A808" s="1">
        <v>807</v>
      </c>
      <c r="B808" s="1">
        <v>-0.95178755930000003</v>
      </c>
      <c r="C808" s="1">
        <v>-0.28503825240000003</v>
      </c>
      <c r="D808" s="1">
        <v>-0.1235917079</v>
      </c>
      <c r="E808" s="1">
        <v>1.0012099049000001</v>
      </c>
    </row>
    <row r="809" spans="1:5" x14ac:dyDescent="0.3">
      <c r="A809" s="1">
        <v>808</v>
      </c>
      <c r="B809" s="1">
        <v>-0.94659032369999996</v>
      </c>
      <c r="C809" s="1">
        <v>-0.3000670802</v>
      </c>
      <c r="D809" s="1">
        <v>-0.13010662919999999</v>
      </c>
      <c r="E809" s="1">
        <v>1.00149949</v>
      </c>
    </row>
    <row r="810" spans="1:5" x14ac:dyDescent="0.3">
      <c r="A810" s="1">
        <v>809</v>
      </c>
      <c r="B810" s="1">
        <v>-0.94111413160000001</v>
      </c>
      <c r="C810" s="1">
        <v>-0.3150074813</v>
      </c>
      <c r="D810" s="1">
        <v>-0.1365832095</v>
      </c>
      <c r="E810" s="1">
        <v>1.0017886479</v>
      </c>
    </row>
    <row r="811" spans="1:5" x14ac:dyDescent="0.3">
      <c r="A811" s="1">
        <v>810</v>
      </c>
      <c r="B811" s="1">
        <v>-0.93536083699999995</v>
      </c>
      <c r="C811" s="1">
        <v>-0.32985513309999998</v>
      </c>
      <c r="D811" s="1">
        <v>-0.14301957479999999</v>
      </c>
      <c r="E811" s="1">
        <v>1.0020772939</v>
      </c>
    </row>
    <row r="812" spans="1:5" x14ac:dyDescent="0.3">
      <c r="A812" s="1">
        <v>811</v>
      </c>
      <c r="B812" s="1">
        <v>-0.92933237160000004</v>
      </c>
      <c r="C812" s="1">
        <v>-0.3446057475</v>
      </c>
      <c r="D812" s="1">
        <v>-0.1494138663</v>
      </c>
      <c r="E812" s="1">
        <v>1.0023653433999999</v>
      </c>
    </row>
    <row r="813" spans="1:5" x14ac:dyDescent="0.3">
      <c r="A813" s="1">
        <v>812</v>
      </c>
      <c r="B813" s="1">
        <v>-0.92303074470000002</v>
      </c>
      <c r="C813" s="1">
        <v>-0.35925507210000002</v>
      </c>
      <c r="D813" s="1">
        <v>-0.1557642407</v>
      </c>
      <c r="E813" s="1">
        <v>1.0026527122</v>
      </c>
    </row>
    <row r="814" spans="1:5" x14ac:dyDescent="0.3">
      <c r="A814" s="1">
        <v>813</v>
      </c>
      <c r="B814" s="1">
        <v>-0.9164580416</v>
      </c>
      <c r="C814" s="1">
        <v>-0.37379889179999998</v>
      </c>
      <c r="D814" s="1">
        <v>-0.16206887079999999</v>
      </c>
      <c r="E814" s="1">
        <v>1.0029393164</v>
      </c>
    </row>
    <row r="815" spans="1:5" x14ac:dyDescent="0.3">
      <c r="A815" s="1">
        <v>814</v>
      </c>
      <c r="B815" s="1">
        <v>-0.90961642340000004</v>
      </c>
      <c r="C815" s="1">
        <v>-0.38823302900000001</v>
      </c>
      <c r="D815" s="1">
        <v>-0.16832594549999999</v>
      </c>
      <c r="E815" s="1">
        <v>1.0032250727000001</v>
      </c>
    </row>
    <row r="816" spans="1:5" x14ac:dyDescent="0.3">
      <c r="A816" s="1">
        <v>815</v>
      </c>
      <c r="B816" s="1">
        <v>-0.90250812560000004</v>
      </c>
      <c r="C816" s="1">
        <v>-0.4025533456</v>
      </c>
      <c r="D816" s="1">
        <v>-0.17453367110000001</v>
      </c>
      <c r="E816" s="1">
        <v>1.0035098978999999</v>
      </c>
    </row>
    <row r="817" spans="1:5" x14ac:dyDescent="0.3">
      <c r="A817" s="1">
        <v>816</v>
      </c>
      <c r="B817" s="1">
        <v>-0.89513545750000001</v>
      </c>
      <c r="C817" s="1">
        <v>-0.41675574339999999</v>
      </c>
      <c r="D817" s="1">
        <v>-0.18069027109999999</v>
      </c>
      <c r="E817" s="1">
        <v>1.0037937094</v>
      </c>
    </row>
    <row r="818" spans="1:5" x14ac:dyDescent="0.3">
      <c r="A818" s="1">
        <v>817</v>
      </c>
      <c r="B818" s="1">
        <v>-0.88750080109999996</v>
      </c>
      <c r="C818" s="1">
        <v>-0.43083616549999998</v>
      </c>
      <c r="D818" s="1">
        <v>-0.18679398680000001</v>
      </c>
      <c r="E818" s="1">
        <v>1.0040764248</v>
      </c>
    </row>
    <row r="819" spans="1:5" x14ac:dyDescent="0.3">
      <c r="A819" s="1">
        <v>818</v>
      </c>
      <c r="B819" s="1">
        <v>-0.87960661029999998</v>
      </c>
      <c r="C819" s="1">
        <v>-0.44479059700000001</v>
      </c>
      <c r="D819" s="1">
        <v>-0.19284307780000001</v>
      </c>
      <c r="E819" s="1">
        <v>1.0043579625000001</v>
      </c>
    </row>
    <row r="820" spans="1:5" x14ac:dyDescent="0.3">
      <c r="A820" s="1">
        <v>819</v>
      </c>
      <c r="B820" s="1">
        <v>-0.87145541010000005</v>
      </c>
      <c r="C820" s="1">
        <v>-0.4586150665</v>
      </c>
      <c r="D820" s="1">
        <v>-0.19883582259999999</v>
      </c>
      <c r="E820" s="1">
        <v>1.0046382410000001</v>
      </c>
    </row>
    <row r="821" spans="1:5" x14ac:dyDescent="0.3">
      <c r="A821" s="1">
        <v>820</v>
      </c>
      <c r="B821" s="1">
        <v>-0.86304979520000003</v>
      </c>
      <c r="C821" s="1">
        <v>-0.47230564650000001</v>
      </c>
      <c r="D821" s="1">
        <v>-0.20477051869999999</v>
      </c>
      <c r="E821" s="1">
        <v>1.0049171796</v>
      </c>
    </row>
    <row r="822" spans="1:5" x14ac:dyDescent="0.3">
      <c r="A822" s="1">
        <v>821</v>
      </c>
      <c r="B822" s="1">
        <v>-0.85439242940000004</v>
      </c>
      <c r="C822" s="1">
        <v>-0.48585845480000001</v>
      </c>
      <c r="D822" s="1">
        <v>-0.2106454831</v>
      </c>
      <c r="E822" s="1">
        <v>1.0051946981</v>
      </c>
    </row>
    <row r="823" spans="1:5" x14ac:dyDescent="0.3">
      <c r="A823" s="1">
        <v>822</v>
      </c>
      <c r="B823" s="1">
        <v>-0.84548604469999999</v>
      </c>
      <c r="C823" s="1">
        <v>-0.4992696552</v>
      </c>
      <c r="D823" s="1">
        <v>-0.21645905300000001</v>
      </c>
      <c r="E823" s="1">
        <v>1.0054707166000001</v>
      </c>
    </row>
    <row r="824" spans="1:5" x14ac:dyDescent="0.3">
      <c r="A824" s="1">
        <v>823</v>
      </c>
      <c r="B824" s="1">
        <v>-0.83633343979999997</v>
      </c>
      <c r="C824" s="1">
        <v>-0.51253545860000005</v>
      </c>
      <c r="D824" s="1">
        <v>-0.2222095858</v>
      </c>
      <c r="E824" s="1">
        <v>1.0057451559999999</v>
      </c>
    </row>
    <row r="825" spans="1:5" x14ac:dyDescent="0.3">
      <c r="A825" s="1">
        <v>824</v>
      </c>
      <c r="B825" s="1">
        <v>-0.82693747949999996</v>
      </c>
      <c r="C825" s="1">
        <v>-0.52565212380000004</v>
      </c>
      <c r="D825" s="1">
        <v>-0.22789545980000001</v>
      </c>
      <c r="E825" s="1">
        <v>1.0060179377</v>
      </c>
    </row>
    <row r="826" spans="1:5" x14ac:dyDescent="0.3">
      <c r="A826" s="1">
        <v>825</v>
      </c>
      <c r="B826" s="1">
        <v>-0.81730109390000005</v>
      </c>
      <c r="C826" s="1">
        <v>-0.53861595839999998</v>
      </c>
      <c r="D826" s="1">
        <v>-0.23351507439999999</v>
      </c>
      <c r="E826" s="1">
        <v>1.0062889837</v>
      </c>
    </row>
    <row r="827" spans="1:5" x14ac:dyDescent="0.3">
      <c r="A827" s="1">
        <v>826</v>
      </c>
      <c r="B827" s="1">
        <v>-0.80742727670000003</v>
      </c>
      <c r="C827" s="1">
        <v>-0.55142331950000001</v>
      </c>
      <c r="D827" s="1">
        <v>-0.2390668504</v>
      </c>
      <c r="E827" s="1">
        <v>1.0065582165</v>
      </c>
    </row>
    <row r="828" spans="1:5" x14ac:dyDescent="0.3">
      <c r="A828" s="1">
        <v>827</v>
      </c>
      <c r="B828" s="1">
        <v>-0.79731908460000001</v>
      </c>
      <c r="C828" s="1">
        <v>-0.56407061479999998</v>
      </c>
      <c r="D828" s="1">
        <v>-0.24454923070000001</v>
      </c>
      <c r="E828" s="1">
        <v>1.0068255596</v>
      </c>
    </row>
    <row r="829" spans="1:5" x14ac:dyDescent="0.3">
      <c r="A829" s="1">
        <v>828</v>
      </c>
      <c r="B829" s="1">
        <v>-0.78697963640000002</v>
      </c>
      <c r="C829" s="1">
        <v>-0.57655430360000004</v>
      </c>
      <c r="D829" s="1">
        <v>-0.2499606804</v>
      </c>
      <c r="E829" s="1">
        <v>1.0070909368000001</v>
      </c>
    </row>
    <row r="830" spans="1:5" x14ac:dyDescent="0.3">
      <c r="A830" s="1">
        <v>829</v>
      </c>
      <c r="B830" s="1">
        <v>-0.7764121115</v>
      </c>
      <c r="C830" s="1">
        <v>-0.58887089699999995</v>
      </c>
      <c r="D830" s="1">
        <v>-0.25529968730000002</v>
      </c>
      <c r="E830" s="1">
        <v>1.0073542726</v>
      </c>
    </row>
    <row r="831" spans="1:5" x14ac:dyDescent="0.3">
      <c r="A831" s="1">
        <v>830</v>
      </c>
      <c r="B831" s="1">
        <v>-0.76561974919999998</v>
      </c>
      <c r="C831" s="1">
        <v>-0.60101695929999999</v>
      </c>
      <c r="D831" s="1">
        <v>-0.26056476179999999</v>
      </c>
      <c r="E831" s="1">
        <v>1.0076154925</v>
      </c>
    </row>
    <row r="832" spans="1:5" x14ac:dyDescent="0.3">
      <c r="A832" s="1">
        <v>831</v>
      </c>
      <c r="B832" s="1">
        <v>-0.75460584740000003</v>
      </c>
      <c r="C832" s="1">
        <v>-0.61298910819999997</v>
      </c>
      <c r="D832" s="1">
        <v>-0.26575443809999999</v>
      </c>
      <c r="E832" s="1">
        <v>1.0078745225000001</v>
      </c>
    </row>
    <row r="833" spans="1:5" x14ac:dyDescent="0.3">
      <c r="A833" s="1">
        <v>832</v>
      </c>
      <c r="B833" s="1">
        <v>-0.74337376170000002</v>
      </c>
      <c r="C833" s="1">
        <v>-0.62478401630000002</v>
      </c>
      <c r="D833" s="1">
        <v>-0.27086727350000001</v>
      </c>
      <c r="E833" s="1">
        <v>1.0081312892000001</v>
      </c>
    </row>
    <row r="834" spans="1:5" x14ac:dyDescent="0.3">
      <c r="A834" s="1">
        <v>833</v>
      </c>
      <c r="B834" s="1">
        <v>-0.73192690400000004</v>
      </c>
      <c r="C834" s="1">
        <v>-0.63639841090000004</v>
      </c>
      <c r="D834" s="1">
        <v>-0.27590184969999998</v>
      </c>
      <c r="E834" s="1">
        <v>1.0083857203</v>
      </c>
    </row>
    <row r="835" spans="1:5" x14ac:dyDescent="0.3">
      <c r="A835" s="1">
        <v>834</v>
      </c>
      <c r="B835" s="1">
        <v>-0.72026874190000001</v>
      </c>
      <c r="C835" s="1">
        <v>-0.64782907580000004</v>
      </c>
      <c r="D835" s="1">
        <v>-0.2808567723</v>
      </c>
      <c r="E835" s="1">
        <v>1.0086377440000001</v>
      </c>
    </row>
    <row r="836" spans="1:5" x14ac:dyDescent="0.3">
      <c r="A836" s="1">
        <v>835</v>
      </c>
      <c r="B836" s="1">
        <v>-0.70840279719999999</v>
      </c>
      <c r="C836" s="1">
        <v>-0.6590728508</v>
      </c>
      <c r="D836" s="1">
        <v>-0.28573067149999998</v>
      </c>
      <c r="E836" s="1">
        <v>1.0088872893</v>
      </c>
    </row>
    <row r="837" spans="1:5" x14ac:dyDescent="0.3">
      <c r="A837" s="1">
        <v>836</v>
      </c>
      <c r="B837" s="1">
        <v>-0.69633264480000001</v>
      </c>
      <c r="C837" s="1">
        <v>-0.67012663350000001</v>
      </c>
      <c r="D837" s="1">
        <v>-0.2905222026</v>
      </c>
      <c r="E837" s="1">
        <v>1.0091342861000001</v>
      </c>
    </row>
    <row r="838" spans="1:5" x14ac:dyDescent="0.3">
      <c r="A838" s="1">
        <v>837</v>
      </c>
      <c r="B838" s="1">
        <v>-0.68406191179999998</v>
      </c>
      <c r="C838" s="1">
        <v>-0.68098737909999996</v>
      </c>
      <c r="D838" s="1">
        <v>-0.2952300457</v>
      </c>
      <c r="E838" s="1">
        <v>1.0093786651000001</v>
      </c>
    </row>
    <row r="839" spans="1:5" x14ac:dyDescent="0.3">
      <c r="A839" s="1">
        <v>838</v>
      </c>
      <c r="B839" s="1">
        <v>-0.67159427630000001</v>
      </c>
      <c r="C839" s="1">
        <v>-0.69165210160000001</v>
      </c>
      <c r="D839" s="1">
        <v>-0.29985290640000001</v>
      </c>
      <c r="E839" s="1">
        <v>1.0096203579</v>
      </c>
    </row>
    <row r="840" spans="1:5" x14ac:dyDescent="0.3">
      <c r="A840" s="1">
        <v>839</v>
      </c>
      <c r="B840" s="1">
        <v>-0.65893346600000002</v>
      </c>
      <c r="C840" s="1">
        <v>-0.70211787410000004</v>
      </c>
      <c r="D840" s="1">
        <v>-0.30438951600000003</v>
      </c>
      <c r="E840" s="1">
        <v>1.0098592968</v>
      </c>
    </row>
    <row r="841" spans="1:5" x14ac:dyDescent="0.3">
      <c r="A841" s="1">
        <v>840</v>
      </c>
      <c r="B841" s="1">
        <v>-0.64608325759999996</v>
      </c>
      <c r="C841" s="1">
        <v>-0.71238182959999996</v>
      </c>
      <c r="D841" s="1">
        <v>-0.30883863179999999</v>
      </c>
      <c r="E841" s="1">
        <v>1.0100954150000001</v>
      </c>
    </row>
    <row r="842" spans="1:5" x14ac:dyDescent="0.3">
      <c r="A842" s="1">
        <v>841</v>
      </c>
      <c r="B842" s="1">
        <v>-0.63304747520000004</v>
      </c>
      <c r="C842" s="1">
        <v>-0.72244116140000003</v>
      </c>
      <c r="D842" s="1">
        <v>-0.31319903719999997</v>
      </c>
      <c r="E842" s="1">
        <v>1.0103286467000001</v>
      </c>
    </row>
    <row r="843" spans="1:5" x14ac:dyDescent="0.3">
      <c r="A843" s="1">
        <v>842</v>
      </c>
      <c r="B843" s="1">
        <v>-0.61982998919999999</v>
      </c>
      <c r="C843" s="1">
        <v>-0.7322931238</v>
      </c>
      <c r="D843" s="1">
        <v>-0.31746954199999999</v>
      </c>
      <c r="E843" s="1">
        <v>1.0105589268999999</v>
      </c>
    </row>
    <row r="844" spans="1:5" x14ac:dyDescent="0.3">
      <c r="A844" s="1">
        <v>843</v>
      </c>
      <c r="B844" s="1">
        <v>-0.60643471550000005</v>
      </c>
      <c r="C844" s="1">
        <v>-0.74193503279999995</v>
      </c>
      <c r="D844" s="1">
        <v>-0.32164898269999997</v>
      </c>
      <c r="E844" s="1">
        <v>1.0107861916000001</v>
      </c>
    </row>
    <row r="845" spans="1:5" x14ac:dyDescent="0.3">
      <c r="A845" s="1">
        <v>844</v>
      </c>
      <c r="B845" s="1">
        <v>-0.59286561390000003</v>
      </c>
      <c r="C845" s="1">
        <v>-0.75136426609999996</v>
      </c>
      <c r="D845" s="1">
        <v>-0.32573622279999997</v>
      </c>
      <c r="E845" s="1">
        <v>1.0110103774999999</v>
      </c>
    </row>
    <row r="846" spans="1:5" x14ac:dyDescent="0.3">
      <c r="A846" s="1">
        <v>845</v>
      </c>
      <c r="B846" s="1">
        <v>-0.57912668739999995</v>
      </c>
      <c r="C846" s="1">
        <v>-0.76057826429999997</v>
      </c>
      <c r="D846" s="1">
        <v>-0.32973015280000001</v>
      </c>
      <c r="E846" s="1">
        <v>1.0112314225000001</v>
      </c>
    </row>
    <row r="847" spans="1:5" x14ac:dyDescent="0.3">
      <c r="A847" s="1">
        <v>846</v>
      </c>
      <c r="B847" s="1">
        <v>-0.56522198050000005</v>
      </c>
      <c r="C847" s="1">
        <v>-0.76957453080000005</v>
      </c>
      <c r="D847" s="1">
        <v>-0.33362969050000002</v>
      </c>
      <c r="E847" s="1">
        <v>1.0114492653</v>
      </c>
    </row>
    <row r="848" spans="1:5" x14ac:dyDescent="0.3">
      <c r="A848" s="1">
        <v>847</v>
      </c>
      <c r="B848" s="1">
        <v>-0.55115557869999998</v>
      </c>
      <c r="C848" s="1">
        <v>-0.77835063289999995</v>
      </c>
      <c r="D848" s="1">
        <v>-0.33743378140000002</v>
      </c>
      <c r="E848" s="1">
        <v>1.0116638456</v>
      </c>
    </row>
    <row r="849" spans="1:5" x14ac:dyDescent="0.3">
      <c r="A849" s="1">
        <v>848</v>
      </c>
      <c r="B849" s="1">
        <v>-0.53693160650000005</v>
      </c>
      <c r="C849" s="1">
        <v>-0.78690420149999996</v>
      </c>
      <c r="D849" s="1">
        <v>-0.3411413988</v>
      </c>
      <c r="E849" s="1">
        <v>1.0118751042</v>
      </c>
    </row>
    <row r="850" spans="1:5" x14ac:dyDescent="0.3">
      <c r="A850" s="1">
        <v>849</v>
      </c>
      <c r="B850" s="1">
        <v>-0.5225542272</v>
      </c>
      <c r="C850" s="1">
        <v>-0.79523293230000003</v>
      </c>
      <c r="D850" s="1">
        <v>-0.34475154359999999</v>
      </c>
      <c r="E850" s="1">
        <v>1.0120829827</v>
      </c>
    </row>
    <row r="851" spans="1:5" x14ac:dyDescent="0.3">
      <c r="A851" s="1">
        <v>850</v>
      </c>
      <c r="B851" s="1">
        <v>-0.50802764089999997</v>
      </c>
      <c r="C851" s="1">
        <v>-0.80333458560000004</v>
      </c>
      <c r="D851" s="1">
        <v>-0.34826324520000002</v>
      </c>
      <c r="E851" s="1">
        <v>1.0122874237999999</v>
      </c>
    </row>
    <row r="852" spans="1:5" x14ac:dyDescent="0.3">
      <c r="A852" s="1">
        <v>851</v>
      </c>
      <c r="B852" s="1">
        <v>-0.49335608390000002</v>
      </c>
      <c r="C852" s="1">
        <v>-0.81120698719999995</v>
      </c>
      <c r="D852" s="1">
        <v>-0.35167556119999999</v>
      </c>
      <c r="E852" s="1">
        <v>1.0124883711999999</v>
      </c>
    </row>
    <row r="853" spans="1:5" x14ac:dyDescent="0.3">
      <c r="A853" s="1">
        <v>852</v>
      </c>
      <c r="B853" s="1">
        <v>-0.47854382699999998</v>
      </c>
      <c r="C853" s="1">
        <v>-0.81884802840000004</v>
      </c>
      <c r="D853" s="1">
        <v>-0.35498757749999998</v>
      </c>
      <c r="E853" s="1">
        <v>1.0126857697</v>
      </c>
    </row>
    <row r="854" spans="1:5" x14ac:dyDescent="0.3">
      <c r="A854" s="1">
        <v>853</v>
      </c>
      <c r="B854" s="1">
        <v>-0.46359517480000001</v>
      </c>
      <c r="C854" s="1">
        <v>-0.82625566689999996</v>
      </c>
      <c r="D854" s="1">
        <v>-0.35819840879999998</v>
      </c>
      <c r="E854" s="1">
        <v>1.012879565</v>
      </c>
    </row>
    <row r="855" spans="1:5" x14ac:dyDescent="0.3">
      <c r="A855" s="1">
        <v>854</v>
      </c>
      <c r="B855" s="1">
        <v>-0.44851446449999999</v>
      </c>
      <c r="C855" s="1">
        <v>-0.83342792639999996</v>
      </c>
      <c r="D855" s="1">
        <v>-0.3613071987</v>
      </c>
      <c r="E855" s="1">
        <v>1.0130697040000001</v>
      </c>
    </row>
    <row r="856" spans="1:5" x14ac:dyDescent="0.3">
      <c r="A856" s="1">
        <v>855</v>
      </c>
      <c r="B856" s="1">
        <v>-0.43330606420000001</v>
      </c>
      <c r="C856" s="1">
        <v>-0.84036289779999995</v>
      </c>
      <c r="D856" s="1">
        <v>-0.36431311960000001</v>
      </c>
      <c r="E856" s="1">
        <v>1.0132561346</v>
      </c>
    </row>
    <row r="857" spans="1:5" x14ac:dyDescent="0.3">
      <c r="A857" s="1">
        <v>856</v>
      </c>
      <c r="B857" s="1">
        <v>-0.41797437240000002</v>
      </c>
      <c r="C857" s="1">
        <v>-0.84705873880000004</v>
      </c>
      <c r="D857" s="1">
        <v>-0.3672153729</v>
      </c>
      <c r="E857" s="1">
        <v>1.0134388056999999</v>
      </c>
    </row>
    <row r="858" spans="1:5" x14ac:dyDescent="0.3">
      <c r="A858" s="1">
        <v>857</v>
      </c>
      <c r="B858" s="1">
        <v>-0.4025238163</v>
      </c>
      <c r="C858" s="1">
        <v>-0.85351367460000005</v>
      </c>
      <c r="D858" s="1">
        <v>-0.3700131894</v>
      </c>
      <c r="E858" s="1">
        <v>1.0136176673999999</v>
      </c>
    </row>
    <row r="859" spans="1:5" x14ac:dyDescent="0.3">
      <c r="A859" s="1">
        <v>858</v>
      </c>
      <c r="B859" s="1">
        <v>-0.38695885099999999</v>
      </c>
      <c r="C859" s="1">
        <v>-0.85972599819999995</v>
      </c>
      <c r="D859" s="1">
        <v>-0.37270582930000001</v>
      </c>
      <c r="E859" s="1">
        <v>1.0137926708</v>
      </c>
    </row>
    <row r="860" spans="1:5" x14ac:dyDescent="0.3">
      <c r="A860" s="1">
        <v>859</v>
      </c>
      <c r="B860" s="1">
        <v>-0.37128395800000003</v>
      </c>
      <c r="C860" s="1">
        <v>-0.86569407050000002</v>
      </c>
      <c r="D860" s="1">
        <v>-0.37529258209999999</v>
      </c>
      <c r="E860" s="1">
        <v>1.0139637683</v>
      </c>
    </row>
    <row r="861" spans="1:5" x14ac:dyDescent="0.3">
      <c r="A861" s="1">
        <v>860</v>
      </c>
      <c r="B861" s="1">
        <v>-0.35550364420000002</v>
      </c>
      <c r="C861" s="1">
        <v>-0.87141632079999998</v>
      </c>
      <c r="D861" s="1">
        <v>-0.37777276700000001</v>
      </c>
      <c r="E861" s="1">
        <v>1.014130913</v>
      </c>
    </row>
    <row r="862" spans="1:5" x14ac:dyDescent="0.3">
      <c r="A862" s="1">
        <v>861</v>
      </c>
      <c r="B862" s="1">
        <v>-0.33962244089999999</v>
      </c>
      <c r="C862" s="1">
        <v>-0.87689124679999997</v>
      </c>
      <c r="D862" s="1">
        <v>-0.38014573299999999</v>
      </c>
      <c r="E862" s="1">
        <v>1.0142940596000001</v>
      </c>
    </row>
    <row r="863" spans="1:5" x14ac:dyDescent="0.3">
      <c r="A863" s="1">
        <v>862</v>
      </c>
      <c r="B863" s="1">
        <v>-0.32364490200000001</v>
      </c>
      <c r="C863" s="1">
        <v>-0.88211741499999996</v>
      </c>
      <c r="D863" s="1">
        <v>-0.38241085860000001</v>
      </c>
      <c r="E863" s="1">
        <v>1.0144531636</v>
      </c>
    </row>
    <row r="864" spans="1:5" x14ac:dyDescent="0.3">
      <c r="A864" s="1">
        <v>863</v>
      </c>
      <c r="B864" s="1">
        <v>-0.30757560360000002</v>
      </c>
      <c r="C864" s="1">
        <v>-0.88709346089999996</v>
      </c>
      <c r="D864" s="1">
        <v>-0.38456755250000002</v>
      </c>
      <c r="E864" s="1">
        <v>1.0146081818999999</v>
      </c>
    </row>
    <row r="865" spans="1:5" x14ac:dyDescent="0.3">
      <c r="A865" s="1">
        <v>864</v>
      </c>
      <c r="B865" s="1">
        <v>-0.29141914219999998</v>
      </c>
      <c r="C865" s="1">
        <v>-0.89181808920000005</v>
      </c>
      <c r="D865" s="1">
        <v>-0.38661525340000003</v>
      </c>
      <c r="E865" s="1">
        <v>1.0147590723</v>
      </c>
    </row>
    <row r="866" spans="1:5" x14ac:dyDescent="0.3">
      <c r="A866" s="1">
        <v>865</v>
      </c>
      <c r="B866" s="1">
        <v>-0.27518013409999997</v>
      </c>
      <c r="C866" s="1">
        <v>-0.89629007390000004</v>
      </c>
      <c r="D866" s="1">
        <v>-0.38855342980000002</v>
      </c>
      <c r="E866" s="1">
        <v>1.0149057938999999</v>
      </c>
    </row>
    <row r="867" spans="1:5" x14ac:dyDescent="0.3">
      <c r="A867" s="1">
        <v>866</v>
      </c>
      <c r="B867" s="1">
        <v>-0.25886321340000001</v>
      </c>
      <c r="C867" s="1">
        <v>-0.90050825850000005</v>
      </c>
      <c r="D867" s="1">
        <v>-0.3903815806</v>
      </c>
      <c r="E867" s="1">
        <v>1.0150483069</v>
      </c>
    </row>
    <row r="868" spans="1:5" x14ac:dyDescent="0.3">
      <c r="A868" s="1">
        <v>867</v>
      </c>
      <c r="B868" s="1">
        <v>-0.2424730319</v>
      </c>
      <c r="C868" s="1">
        <v>-0.90447155639999999</v>
      </c>
      <c r="D868" s="1">
        <v>-0.39209923479999997</v>
      </c>
      <c r="E868" s="1">
        <v>1.0151865728</v>
      </c>
    </row>
    <row r="869" spans="1:5" x14ac:dyDescent="0.3">
      <c r="A869" s="1">
        <v>868</v>
      </c>
      <c r="B869" s="1">
        <v>-0.22601425689999999</v>
      </c>
      <c r="C869" s="1">
        <v>-0.9081789508</v>
      </c>
      <c r="D869" s="1">
        <v>-0.39370595180000001</v>
      </c>
      <c r="E869" s="1">
        <v>1.0153205541000001</v>
      </c>
    </row>
    <row r="870" spans="1:5" x14ac:dyDescent="0.3">
      <c r="A870" s="1">
        <v>869</v>
      </c>
      <c r="B870" s="1">
        <v>-0.20949157060000001</v>
      </c>
      <c r="C870" s="1">
        <v>-0.9116294948</v>
      </c>
      <c r="D870" s="1">
        <v>-0.39520132120000001</v>
      </c>
      <c r="E870" s="1">
        <v>1.0154502146</v>
      </c>
    </row>
    <row r="871" spans="1:5" x14ac:dyDescent="0.3">
      <c r="A871" s="1">
        <v>870</v>
      </c>
      <c r="B871" s="1">
        <v>-0.19290966900000001</v>
      </c>
      <c r="C871" s="1">
        <v>-0.91482231169999995</v>
      </c>
      <c r="D871" s="1">
        <v>-0.39658496300000001</v>
      </c>
      <c r="E871" s="1">
        <v>1.0155755193</v>
      </c>
    </row>
    <row r="872" spans="1:5" x14ac:dyDescent="0.3">
      <c r="A872" s="1">
        <v>871</v>
      </c>
      <c r="B872" s="1">
        <v>-0.1762732602</v>
      </c>
      <c r="C872" s="1">
        <v>-0.91775659499999995</v>
      </c>
      <c r="D872" s="1">
        <v>-0.39785652789999998</v>
      </c>
      <c r="E872" s="1">
        <v>1.0156964342999999</v>
      </c>
    </row>
    <row r="873" spans="1:5" x14ac:dyDescent="0.3">
      <c r="A873" s="1">
        <v>872</v>
      </c>
      <c r="B873" s="1">
        <v>-0.1595870637</v>
      </c>
      <c r="C873" s="1">
        <v>-0.92043160840000005</v>
      </c>
      <c r="D873" s="1">
        <v>-0.39901569669999998</v>
      </c>
      <c r="E873" s="1">
        <v>1.0158129271</v>
      </c>
    </row>
    <row r="874" spans="1:5" x14ac:dyDescent="0.3">
      <c r="A874" s="1">
        <v>873</v>
      </c>
      <c r="B874" s="1">
        <v>-0.1428558093</v>
      </c>
      <c r="C874" s="1">
        <v>-0.92284668619999999</v>
      </c>
      <c r="D874" s="1">
        <v>-0.40006218100000002</v>
      </c>
      <c r="E874" s="1">
        <v>1.0159249663000001</v>
      </c>
    </row>
    <row r="875" spans="1:5" x14ac:dyDescent="0.3">
      <c r="A875" s="1">
        <v>874</v>
      </c>
      <c r="B875" s="1">
        <v>-0.12608423539999999</v>
      </c>
      <c r="C875" s="1">
        <v>-0.92500123290000003</v>
      </c>
      <c r="D875" s="1">
        <v>-0.40099572280000001</v>
      </c>
      <c r="E875" s="1">
        <v>1.0160325215999999</v>
      </c>
    </row>
    <row r="876" spans="1:5" x14ac:dyDescent="0.3">
      <c r="A876" s="1">
        <v>875</v>
      </c>
      <c r="B876" s="1">
        <v>-0.1092770882</v>
      </c>
      <c r="C876" s="1">
        <v>-0.92689472360000003</v>
      </c>
      <c r="D876" s="1">
        <v>-0.40181609470000001</v>
      </c>
      <c r="E876" s="1">
        <v>1.0161355641000001</v>
      </c>
    </row>
    <row r="877" spans="1:5" x14ac:dyDescent="0.3">
      <c r="A877" s="1">
        <v>876</v>
      </c>
      <c r="B877" s="1">
        <v>-9.2439120900000005E-2</v>
      </c>
      <c r="C877" s="1">
        <v>-0.92852670410000004</v>
      </c>
      <c r="D877" s="1">
        <v>-0.40252309980000001</v>
      </c>
      <c r="E877" s="1">
        <v>1.0162340662</v>
      </c>
    </row>
    <row r="878" spans="1:5" x14ac:dyDescent="0.3">
      <c r="A878" s="1">
        <v>877</v>
      </c>
      <c r="B878" s="1">
        <v>-7.5575091499999997E-2</v>
      </c>
      <c r="C878" s="1">
        <v>-0.92989679049999996</v>
      </c>
      <c r="D878" s="1">
        <v>-0.40311657200000001</v>
      </c>
      <c r="E878" s="1">
        <v>1.0163280012</v>
      </c>
    </row>
    <row r="879" spans="1:5" x14ac:dyDescent="0.3">
      <c r="A879" s="1">
        <v>878</v>
      </c>
      <c r="B879" s="1">
        <v>-5.8689762899999998E-2</v>
      </c>
      <c r="C879" s="1">
        <v>-0.93100466950000005</v>
      </c>
      <c r="D879" s="1">
        <v>-0.40359637539999998</v>
      </c>
      <c r="E879" s="1">
        <v>1.0164173439999999</v>
      </c>
    </row>
    <row r="880" spans="1:5" x14ac:dyDescent="0.3">
      <c r="A880" s="1">
        <v>879</v>
      </c>
      <c r="B880" s="1">
        <v>-4.1787900699999998E-2</v>
      </c>
      <c r="C880" s="1">
        <v>-0.9318500985</v>
      </c>
      <c r="D880" s="1">
        <v>-0.40396240519999999</v>
      </c>
      <c r="E880" s="1">
        <v>1.0165020706000001</v>
      </c>
    </row>
    <row r="881" spans="1:5" x14ac:dyDescent="0.3">
      <c r="A881" s="1">
        <v>880</v>
      </c>
      <c r="B881" s="1">
        <v>-2.48742726E-2</v>
      </c>
      <c r="C881" s="1">
        <v>-0.9324329053</v>
      </c>
      <c r="D881" s="1">
        <v>-0.40421458659999998</v>
      </c>
      <c r="E881" s="1">
        <v>1.0165821582000001</v>
      </c>
    </row>
    <row r="882" spans="1:5" x14ac:dyDescent="0.3">
      <c r="A882" s="1">
        <v>881</v>
      </c>
      <c r="B882" s="1">
        <v>-7.9536472000000004E-3</v>
      </c>
      <c r="C882" s="1">
        <v>-0.93275298829999997</v>
      </c>
      <c r="D882" s="1">
        <v>-0.40435287590000002</v>
      </c>
      <c r="E882" s="1">
        <v>1.0166575854</v>
      </c>
    </row>
    <row r="883" spans="1:5" x14ac:dyDescent="0.3">
      <c r="A883" s="1">
        <v>882</v>
      </c>
      <c r="B883" s="1">
        <v>8.9692074E-3</v>
      </c>
      <c r="C883" s="1">
        <v>-0.93281031619999999</v>
      </c>
      <c r="D883" s="1">
        <v>-0.40437725969999999</v>
      </c>
      <c r="E883" s="1">
        <v>1.0167283319</v>
      </c>
    </row>
    <row r="884" spans="1:5" x14ac:dyDescent="0.3">
      <c r="A884" s="1">
        <v>883</v>
      </c>
      <c r="B884" s="1">
        <v>2.5889524399999999E-2</v>
      </c>
      <c r="C884" s="1">
        <v>-0.93260492829999997</v>
      </c>
      <c r="D884" s="1">
        <v>-0.40428775500000003</v>
      </c>
      <c r="E884" s="1">
        <v>1.0167943787</v>
      </c>
    </row>
    <row r="885" spans="1:5" x14ac:dyDescent="0.3">
      <c r="A885" s="1">
        <v>884</v>
      </c>
      <c r="B885" s="1">
        <v>4.2802539700000003E-2</v>
      </c>
      <c r="C885" s="1">
        <v>-0.93213693409999998</v>
      </c>
      <c r="D885" s="1">
        <v>-0.40408440950000002</v>
      </c>
      <c r="E885" s="1">
        <v>1.0168557082</v>
      </c>
    </row>
    <row r="886" spans="1:5" x14ac:dyDescent="0.3">
      <c r="A886" s="1">
        <v>885</v>
      </c>
      <c r="B886" s="1">
        <v>5.9703492900000002E-2</v>
      </c>
      <c r="C886" s="1">
        <v>-0.93140651340000002</v>
      </c>
      <c r="D886" s="1">
        <v>-0.40376730119999998</v>
      </c>
      <c r="E886" s="1">
        <v>1.0169123039000001</v>
      </c>
    </row>
    <row r="887" spans="1:5" x14ac:dyDescent="0.3">
      <c r="A887" s="1">
        <v>886</v>
      </c>
      <c r="B887" s="1">
        <v>7.6587628699999993E-2</v>
      </c>
      <c r="C887" s="1">
        <v>-0.93041391620000002</v>
      </c>
      <c r="D887" s="1">
        <v>-0.40333653870000002</v>
      </c>
      <c r="E887" s="1">
        <v>1.0169641507</v>
      </c>
    </row>
    <row r="888" spans="1:5" x14ac:dyDescent="0.3">
      <c r="A888" s="1">
        <v>887</v>
      </c>
      <c r="B888" s="1">
        <v>9.3450197600000007E-2</v>
      </c>
      <c r="C888" s="1">
        <v>-0.92915946240000002</v>
      </c>
      <c r="D888" s="1">
        <v>-0.40279226080000002</v>
      </c>
      <c r="E888" s="1">
        <v>1.0170112346</v>
      </c>
    </row>
    <row r="889" spans="1:5" x14ac:dyDescent="0.3">
      <c r="A889" s="1">
        <v>888</v>
      </c>
      <c r="B889" s="1">
        <v>0.1102864575</v>
      </c>
      <c r="C889" s="1">
        <v>-0.92764354189999998</v>
      </c>
      <c r="D889" s="1">
        <v>-0.40213463659999998</v>
      </c>
      <c r="E889" s="1">
        <v>1.0170535431000001</v>
      </c>
    </row>
    <row r="890" spans="1:5" x14ac:dyDescent="0.3">
      <c r="A890" s="1">
        <v>889</v>
      </c>
      <c r="B890" s="1">
        <v>0.12709167430000001</v>
      </c>
      <c r="C890" s="1">
        <v>-0.92586661459999997</v>
      </c>
      <c r="D890" s="1">
        <v>-0.40136386559999998</v>
      </c>
      <c r="E890" s="1">
        <v>1.0170910649</v>
      </c>
    </row>
    <row r="891" spans="1:5" x14ac:dyDescent="0.3">
      <c r="A891" s="1">
        <v>890</v>
      </c>
      <c r="B891" s="1">
        <v>0.1438611236</v>
      </c>
      <c r="C891" s="1">
        <v>-0.92382920960000003</v>
      </c>
      <c r="D891" s="1">
        <v>-0.40048017740000003</v>
      </c>
      <c r="E891" s="1">
        <v>1.0171237899000001</v>
      </c>
    </row>
    <row r="892" spans="1:5" x14ac:dyDescent="0.3">
      <c r="A892" s="1">
        <v>891</v>
      </c>
      <c r="B892" s="1">
        <v>0.1605900914</v>
      </c>
      <c r="C892" s="1">
        <v>-0.92153192589999999</v>
      </c>
      <c r="D892" s="1">
        <v>-0.39948383170000001</v>
      </c>
      <c r="E892" s="1">
        <v>1.0171517093</v>
      </c>
    </row>
    <row r="893" spans="1:5" x14ac:dyDescent="0.3">
      <c r="A893" s="1">
        <v>892</v>
      </c>
      <c r="B893" s="1">
        <v>0.17727387559999999</v>
      </c>
      <c r="C893" s="1">
        <v>-0.91897543169999996</v>
      </c>
      <c r="D893" s="1">
        <v>-0.3983751183</v>
      </c>
      <c r="E893" s="1">
        <v>1.0171748158</v>
      </c>
    </row>
    <row r="894" spans="1:5" x14ac:dyDescent="0.3">
      <c r="A894" s="1">
        <v>893</v>
      </c>
      <c r="B894" s="1">
        <v>0.19390778659999999</v>
      </c>
      <c r="C894" s="1">
        <v>-0.91616046409999996</v>
      </c>
      <c r="D894" s="1">
        <v>-0.3971543568</v>
      </c>
      <c r="E894" s="1">
        <v>1.0171931030000001</v>
      </c>
    </row>
    <row r="895" spans="1:5" x14ac:dyDescent="0.3">
      <c r="A895" s="1">
        <v>894</v>
      </c>
      <c r="B895" s="1">
        <v>0.2104871488</v>
      </c>
      <c r="C895" s="1">
        <v>-0.9130878294</v>
      </c>
      <c r="D895" s="1">
        <v>-0.39582189709999999</v>
      </c>
      <c r="E895" s="1">
        <v>1.0172065662000001</v>
      </c>
    </row>
    <row r="896" spans="1:5" x14ac:dyDescent="0.3">
      <c r="A896" s="1">
        <v>895</v>
      </c>
      <c r="B896" s="1">
        <v>0.22700730180000001</v>
      </c>
      <c r="C896" s="1">
        <v>-0.90975840259999996</v>
      </c>
      <c r="D896" s="1">
        <v>-0.39437811839999998</v>
      </c>
      <c r="E896" s="1">
        <v>1.0172152016</v>
      </c>
    </row>
    <row r="897" spans="1:5" x14ac:dyDescent="0.3">
      <c r="A897" s="1">
        <v>896</v>
      </c>
      <c r="B897" s="1">
        <v>0.24346360119999999</v>
      </c>
      <c r="C897" s="1">
        <v>-0.90617312699999997</v>
      </c>
      <c r="D897" s="1">
        <v>-0.39282342990000002</v>
      </c>
      <c r="E897" s="1">
        <v>1.0172190071</v>
      </c>
    </row>
    <row r="898" spans="1:5" x14ac:dyDescent="0.3">
      <c r="A898" s="1">
        <v>897</v>
      </c>
      <c r="B898" s="1">
        <v>0.25985141969999997</v>
      </c>
      <c r="C898" s="1">
        <v>-0.90233301450000003</v>
      </c>
      <c r="D898" s="1">
        <v>-0.3911582703</v>
      </c>
      <c r="E898" s="1">
        <v>1.0172179815</v>
      </c>
    </row>
    <row r="899" spans="1:5" x14ac:dyDescent="0.3">
      <c r="A899" s="1">
        <v>898</v>
      </c>
      <c r="B899" s="1">
        <v>0.27616614859999999</v>
      </c>
      <c r="C899" s="1">
        <v>-0.89823914469999999</v>
      </c>
      <c r="D899" s="1">
        <v>-0.38938310790000003</v>
      </c>
      <c r="E899" s="1">
        <v>1.0172121250999999</v>
      </c>
    </row>
    <row r="900" spans="1:5" x14ac:dyDescent="0.3">
      <c r="A900" s="1">
        <v>899</v>
      </c>
      <c r="B900" s="1">
        <v>0.29240319850000002</v>
      </c>
      <c r="C900" s="1">
        <v>-0.8938926653</v>
      </c>
      <c r="D900" s="1">
        <v>-0.38749844010000001</v>
      </c>
      <c r="E900" s="1">
        <v>1.0172014395</v>
      </c>
    </row>
    <row r="901" spans="1:5" x14ac:dyDescent="0.3">
      <c r="A901" s="1">
        <v>900</v>
      </c>
      <c r="B901" s="1">
        <v>0.30855800049999998</v>
      </c>
      <c r="C901" s="1">
        <v>-0.88929479109999998</v>
      </c>
      <c r="D901" s="1">
        <v>-0.38550479380000002</v>
      </c>
      <c r="E901" s="1">
        <v>1.0171859275999999</v>
      </c>
    </row>
    <row r="902" spans="1:5" x14ac:dyDescent="0.3">
      <c r="A902" s="1">
        <v>901</v>
      </c>
      <c r="B902" s="1">
        <v>0.32462600749999998</v>
      </c>
      <c r="C902" s="1">
        <v>-0.88444680450000002</v>
      </c>
      <c r="D902" s="1">
        <v>-0.38340272510000001</v>
      </c>
      <c r="E902" s="1">
        <v>1.0171655933999999</v>
      </c>
    </row>
    <row r="903" spans="1:5" x14ac:dyDescent="0.3">
      <c r="A903" s="1">
        <v>902</v>
      </c>
      <c r="B903" s="1">
        <v>0.34060269500000001</v>
      </c>
      <c r="C903" s="1">
        <v>-0.87935005460000004</v>
      </c>
      <c r="D903" s="1">
        <v>-0.38119281890000001</v>
      </c>
      <c r="E903" s="1">
        <v>1.0171404423999999</v>
      </c>
    </row>
    <row r="904" spans="1:5" x14ac:dyDescent="0.3">
      <c r="A904" s="1">
        <v>903</v>
      </c>
      <c r="B904" s="1">
        <v>0.3564835623</v>
      </c>
      <c r="C904" s="1">
        <v>-0.87400595719999996</v>
      </c>
      <c r="D904" s="1">
        <v>-0.37887568900000002</v>
      </c>
      <c r="E904" s="1">
        <v>1.0171104813</v>
      </c>
    </row>
    <row r="905" spans="1:5" x14ac:dyDescent="0.3">
      <c r="A905" s="1">
        <v>904</v>
      </c>
      <c r="B905" s="1">
        <v>0.37226413349999998</v>
      </c>
      <c r="C905" s="1">
        <v>-0.86841599430000005</v>
      </c>
      <c r="D905" s="1">
        <v>-0.37645197819999998</v>
      </c>
      <c r="E905" s="1">
        <v>1.0170757180000001</v>
      </c>
    </row>
    <row r="906" spans="1:5" x14ac:dyDescent="0.3">
      <c r="A906" s="1">
        <v>905</v>
      </c>
      <c r="B906" s="1">
        <v>0.387939959</v>
      </c>
      <c r="C906" s="1">
        <v>-0.86258171409999995</v>
      </c>
      <c r="D906" s="1">
        <v>-0.37392235759999998</v>
      </c>
      <c r="E906" s="1">
        <v>1.0170361619999999</v>
      </c>
    </row>
    <row r="907" spans="1:5" x14ac:dyDescent="0.3">
      <c r="A907" s="1">
        <v>906</v>
      </c>
      <c r="B907" s="1">
        <v>0.40350661580000002</v>
      </c>
      <c r="C907" s="1">
        <v>-0.85650473029999996</v>
      </c>
      <c r="D907" s="1">
        <v>-0.37128752679999999</v>
      </c>
      <c r="E907" s="1">
        <v>1.0169918237</v>
      </c>
    </row>
    <row r="908" spans="1:5" x14ac:dyDescent="0.3">
      <c r="A908" s="1">
        <v>907</v>
      </c>
      <c r="B908" s="1">
        <v>0.41895970919999997</v>
      </c>
      <c r="C908" s="1">
        <v>-0.85018672169999998</v>
      </c>
      <c r="D908" s="1">
        <v>-0.36854821389999998</v>
      </c>
      <c r="E908" s="1">
        <v>1.0169427150000001</v>
      </c>
    </row>
    <row r="909" spans="1:5" x14ac:dyDescent="0.3">
      <c r="A909" s="1">
        <v>908</v>
      </c>
      <c r="B909" s="1">
        <v>0.43429487389999999</v>
      </c>
      <c r="C909" s="1">
        <v>-0.84362943219999997</v>
      </c>
      <c r="D909" s="1">
        <v>-0.36570517489999999</v>
      </c>
      <c r="E909" s="1">
        <v>1.0168888490000001</v>
      </c>
    </row>
    <row r="910" spans="1:5" x14ac:dyDescent="0.3">
      <c r="A910" s="1">
        <v>909</v>
      </c>
      <c r="B910" s="1">
        <v>0.44950777450000001</v>
      </c>
      <c r="C910" s="1">
        <v>-0.83683467030000003</v>
      </c>
      <c r="D910" s="1">
        <v>-0.3627591939</v>
      </c>
      <c r="E910" s="1">
        <v>1.0168302402</v>
      </c>
    </row>
    <row r="911" spans="1:5" x14ac:dyDescent="0.3">
      <c r="A911" s="1">
        <v>910</v>
      </c>
      <c r="B911" s="1">
        <v>0.46459410690000003</v>
      </c>
      <c r="C911" s="1">
        <v>-0.82980430839999997</v>
      </c>
      <c r="D911" s="1">
        <v>-0.35971108270000002</v>
      </c>
      <c r="E911" s="1">
        <v>1.0167669042</v>
      </c>
    </row>
    <row r="912" spans="1:5" x14ac:dyDescent="0.3">
      <c r="A912" s="1">
        <v>911</v>
      </c>
      <c r="B912" s="1">
        <v>0.4795495998</v>
      </c>
      <c r="C912" s="1">
        <v>-0.82254028280000002</v>
      </c>
      <c r="D912" s="1">
        <v>-0.3565616808</v>
      </c>
      <c r="E912" s="1">
        <v>1.0166988579</v>
      </c>
    </row>
    <row r="913" spans="1:5" x14ac:dyDescent="0.3">
      <c r="A913" s="1">
        <v>912</v>
      </c>
      <c r="B913" s="1">
        <v>0.49437001460000002</v>
      </c>
      <c r="C913" s="1">
        <v>-0.81504459299999998</v>
      </c>
      <c r="D913" s="1">
        <v>-0.35331185529999998</v>
      </c>
      <c r="E913" s="1">
        <v>1.0166261195999999</v>
      </c>
    </row>
    <row r="914" spans="1:5" x14ac:dyDescent="0.3">
      <c r="A914" s="1">
        <v>913</v>
      </c>
      <c r="B914" s="1">
        <v>0.50905114780000005</v>
      </c>
      <c r="C914" s="1">
        <v>-0.80731930149999998</v>
      </c>
      <c r="D914" s="1">
        <v>-0.34996250020000003</v>
      </c>
      <c r="E914" s="1">
        <v>1.0165487088</v>
      </c>
    </row>
    <row r="915" spans="1:5" x14ac:dyDescent="0.3">
      <c r="A915" s="1">
        <v>914</v>
      </c>
      <c r="B915" s="1">
        <v>0.52358883099999998</v>
      </c>
      <c r="C915" s="1">
        <v>-0.79936653319999995</v>
      </c>
      <c r="D915" s="1">
        <v>-0.3465145369</v>
      </c>
      <c r="E915" s="1">
        <v>1.0164666461</v>
      </c>
    </row>
    <row r="916" spans="1:5" x14ac:dyDescent="0.3">
      <c r="A916" s="1">
        <v>915</v>
      </c>
      <c r="B916" s="1">
        <v>0.53797893249999995</v>
      </c>
      <c r="C916" s="1">
        <v>-0.791188475</v>
      </c>
      <c r="D916" s="1">
        <v>-0.34296891340000002</v>
      </c>
      <c r="E916" s="1">
        <v>1.0163799537</v>
      </c>
    </row>
    <row r="917" spans="1:5" x14ac:dyDescent="0.3">
      <c r="A917" s="1">
        <v>916</v>
      </c>
      <c r="B917" s="1">
        <v>0.55221735800000005</v>
      </c>
      <c r="C917" s="1">
        <v>-0.78278737519999997</v>
      </c>
      <c r="D917" s="1">
        <v>-0.33932660460000003</v>
      </c>
      <c r="E917" s="1">
        <v>1.0162886548000001</v>
      </c>
    </row>
    <row r="918" spans="1:5" x14ac:dyDescent="0.3">
      <c r="A918" s="1">
        <v>917</v>
      </c>
      <c r="B918" s="1">
        <v>0.56630005189999999</v>
      </c>
      <c r="C918" s="1">
        <v>-0.77416554339999999</v>
      </c>
      <c r="D918" s="1">
        <v>-0.33558861169999998</v>
      </c>
      <c r="E918" s="1">
        <v>1.0161927739000001</v>
      </c>
    </row>
    <row r="919" spans="1:5" x14ac:dyDescent="0.3">
      <c r="A919" s="1">
        <v>918</v>
      </c>
      <c r="B919" s="1">
        <v>0.58022299820000001</v>
      </c>
      <c r="C919" s="1">
        <v>-0.76532534939999997</v>
      </c>
      <c r="D919" s="1">
        <v>-0.33175596229999998</v>
      </c>
      <c r="E919" s="1">
        <v>1.0160923367000001</v>
      </c>
    </row>
    <row r="920" spans="1:5" x14ac:dyDescent="0.3">
      <c r="A920" s="1">
        <v>919</v>
      </c>
      <c r="B920" s="1">
        <v>0.59398222150000002</v>
      </c>
      <c r="C920" s="1">
        <v>-0.75626922330000002</v>
      </c>
      <c r="D920" s="1">
        <v>-0.32782970989999999</v>
      </c>
      <c r="E920" s="1">
        <v>1.0159873702</v>
      </c>
    </row>
    <row r="921" spans="1:5" x14ac:dyDescent="0.3">
      <c r="A921" s="1">
        <v>920</v>
      </c>
      <c r="B921" s="1">
        <v>0.60757378809999996</v>
      </c>
      <c r="C921" s="1">
        <v>-0.74699965479999997</v>
      </c>
      <c r="D921" s="1">
        <v>-0.32381093379999998</v>
      </c>
      <c r="E921" s="1">
        <v>1.0158779027</v>
      </c>
    </row>
    <row r="922" spans="1:5" x14ac:dyDescent="0.3">
      <c r="A922" s="1">
        <v>921</v>
      </c>
      <c r="B922" s="1">
        <v>0.62099380670000004</v>
      </c>
      <c r="C922" s="1">
        <v>-0.73751919239999997</v>
      </c>
      <c r="D922" s="1">
        <v>-0.31970073900000001</v>
      </c>
      <c r="E922" s="1">
        <v>1.0157639635</v>
      </c>
    </row>
    <row r="923" spans="1:5" x14ac:dyDescent="0.3">
      <c r="A923" s="1">
        <v>922</v>
      </c>
      <c r="B923" s="1">
        <v>0.63423843000000002</v>
      </c>
      <c r="C923" s="1">
        <v>-0.72783044299999999</v>
      </c>
      <c r="D923" s="1">
        <v>-0.31550025580000002</v>
      </c>
      <c r="E923" s="1">
        <v>1.0156455835</v>
      </c>
    </row>
    <row r="924" spans="1:5" x14ac:dyDescent="0.3">
      <c r="A924" s="1">
        <v>923</v>
      </c>
      <c r="B924" s="1">
        <v>0.64730385509999999</v>
      </c>
      <c r="C924" s="1">
        <v>-0.71793607179999996</v>
      </c>
      <c r="D924" s="1">
        <v>-0.3112106395</v>
      </c>
      <c r="E924" s="1">
        <v>1.0155227945</v>
      </c>
    </row>
    <row r="925" spans="1:5" x14ac:dyDescent="0.3">
      <c r="A925" s="1">
        <v>924</v>
      </c>
      <c r="B925" s="1">
        <v>0.66018632489999995</v>
      </c>
      <c r="C925" s="1">
        <v>-0.70783880089999995</v>
      </c>
      <c r="D925" s="1">
        <v>-0.30683307030000001</v>
      </c>
      <c r="E925" s="1">
        <v>1.0153956296</v>
      </c>
    </row>
    <row r="926" spans="1:5" x14ac:dyDescent="0.3">
      <c r="A926" s="1">
        <v>925</v>
      </c>
      <c r="B926" s="1">
        <v>0.67288212859999996</v>
      </c>
      <c r="C926" s="1">
        <v>-0.69754140939999998</v>
      </c>
      <c r="D926" s="1">
        <v>-0.3023687531</v>
      </c>
      <c r="E926" s="1">
        <v>1.0152641231999999</v>
      </c>
    </row>
    <row r="927" spans="1:5" x14ac:dyDescent="0.3">
      <c r="A927" s="1">
        <v>926</v>
      </c>
      <c r="B927" s="1">
        <v>0.68538760350000005</v>
      </c>
      <c r="C927" s="1">
        <v>-0.68704673250000003</v>
      </c>
      <c r="D927" s="1">
        <v>-0.29781891710000002</v>
      </c>
      <c r="E927" s="1">
        <v>1.0151283106</v>
      </c>
    </row>
    <row r="928" spans="1:5" x14ac:dyDescent="0.3">
      <c r="A928" s="1">
        <v>927</v>
      </c>
      <c r="B928" s="1">
        <v>0.69769913500000003</v>
      </c>
      <c r="C928" s="1">
        <v>-0.67635766100000005</v>
      </c>
      <c r="D928" s="1">
        <v>-0.29318481540000002</v>
      </c>
      <c r="E928" s="1">
        <v>1.0149882288000001</v>
      </c>
    </row>
    <row r="929" spans="1:5" x14ac:dyDescent="0.3">
      <c r="A929" s="1">
        <v>928</v>
      </c>
      <c r="B929" s="1">
        <v>0.70981315830000002</v>
      </c>
      <c r="C929" s="1">
        <v>-0.66547714049999995</v>
      </c>
      <c r="D929" s="1">
        <v>-0.28846772529999998</v>
      </c>
      <c r="E929" s="1">
        <v>1.0148439155</v>
      </c>
    </row>
    <row r="930" spans="1:5" x14ac:dyDescent="0.3">
      <c r="A930" s="1">
        <v>929</v>
      </c>
      <c r="B930" s="1">
        <v>0.72172615900000003</v>
      </c>
      <c r="C930" s="1">
        <v>-0.65440817110000005</v>
      </c>
      <c r="D930" s="1">
        <v>-0.28366894720000002</v>
      </c>
      <c r="E930" s="1">
        <v>1.0146954098000001</v>
      </c>
    </row>
    <row r="931" spans="1:5" x14ac:dyDescent="0.3">
      <c r="A931" s="1">
        <v>930</v>
      </c>
      <c r="B931" s="1">
        <v>0.73343467429999998</v>
      </c>
      <c r="C931" s="1">
        <v>-0.64315380649999998</v>
      </c>
      <c r="D931" s="1">
        <v>-0.27878980510000001</v>
      </c>
      <c r="E931" s="1">
        <v>1.0145427520000001</v>
      </c>
    </row>
    <row r="932" spans="1:5" x14ac:dyDescent="0.3">
      <c r="A932" s="1">
        <v>931</v>
      </c>
      <c r="B932" s="1">
        <v>0.74493529359999999</v>
      </c>
      <c r="C932" s="1">
        <v>-0.63171715319999999</v>
      </c>
      <c r="D932" s="1">
        <v>-0.27383164580000002</v>
      </c>
      <c r="E932" s="1">
        <v>1.0143859835</v>
      </c>
    </row>
    <row r="933" spans="1:5" x14ac:dyDescent="0.3">
      <c r="A933" s="1">
        <v>932</v>
      </c>
      <c r="B933" s="1">
        <v>0.75622465979999998</v>
      </c>
      <c r="C933" s="1">
        <v>-0.62010137030000001</v>
      </c>
      <c r="D933" s="1">
        <v>-0.26879583889999997</v>
      </c>
      <c r="E933" s="1">
        <v>1.0142251469000001</v>
      </c>
    </row>
    <row r="934" spans="1:5" x14ac:dyDescent="0.3">
      <c r="A934" s="1">
        <v>933</v>
      </c>
      <c r="B934" s="1">
        <v>0.76729946999999998</v>
      </c>
      <c r="C934" s="1">
        <v>-0.60830966850000001</v>
      </c>
      <c r="D934" s="1">
        <v>-0.2636837762</v>
      </c>
      <c r="E934" s="1">
        <v>1.0140602858000001</v>
      </c>
    </row>
    <row r="935" spans="1:5" x14ac:dyDescent="0.3">
      <c r="A935" s="1">
        <v>934</v>
      </c>
      <c r="B935" s="1">
        <v>0.77815647659999998</v>
      </c>
      <c r="C935" s="1">
        <v>-0.59634530929999996</v>
      </c>
      <c r="D935" s="1">
        <v>-0.25849687180000003</v>
      </c>
      <c r="E935" s="1">
        <v>1.0138914452000001</v>
      </c>
    </row>
    <row r="936" spans="1:5" x14ac:dyDescent="0.3">
      <c r="A936" s="1">
        <v>935</v>
      </c>
      <c r="B936" s="1">
        <v>0.78879248800000001</v>
      </c>
      <c r="C936" s="1">
        <v>-0.58421160439999997</v>
      </c>
      <c r="D936" s="1">
        <v>-0.2532365614</v>
      </c>
      <c r="E936" s="1">
        <v>1.0137186708999999</v>
      </c>
    </row>
    <row r="937" spans="1:5" x14ac:dyDescent="0.3">
      <c r="A937" s="1">
        <v>936</v>
      </c>
      <c r="B937" s="1">
        <v>0.79920436959999996</v>
      </c>
      <c r="C937" s="1">
        <v>-0.57191191529999996</v>
      </c>
      <c r="D937" s="1">
        <v>-0.24790430229999999</v>
      </c>
      <c r="E937" s="1">
        <v>1.0135420101999999</v>
      </c>
    </row>
    <row r="938" spans="1:5" x14ac:dyDescent="0.3">
      <c r="A938" s="1">
        <v>937</v>
      </c>
      <c r="B938" s="1">
        <v>0.80938904509999998</v>
      </c>
      <c r="C938" s="1">
        <v>-0.55944965199999996</v>
      </c>
      <c r="D938" s="1">
        <v>-0.24250157280000001</v>
      </c>
      <c r="E938" s="1">
        <v>1.0133615111000001</v>
      </c>
    </row>
    <row r="939" spans="1:5" x14ac:dyDescent="0.3">
      <c r="A939" s="1">
        <v>938</v>
      </c>
      <c r="B939" s="1">
        <v>0.81934349660000005</v>
      </c>
      <c r="C939" s="1">
        <v>-0.5468282726</v>
      </c>
      <c r="D939" s="1">
        <v>-0.23702987210000001</v>
      </c>
      <c r="E939" s="1">
        <v>1.0131772231</v>
      </c>
    </row>
    <row r="940" spans="1:5" x14ac:dyDescent="0.3">
      <c r="A940" s="1">
        <v>939</v>
      </c>
      <c r="B940" s="1">
        <v>0.82906476610000002</v>
      </c>
      <c r="C940" s="1">
        <v>-0.5340512825</v>
      </c>
      <c r="D940" s="1">
        <v>-0.2314907199</v>
      </c>
      <c r="E940" s="1">
        <v>1.0129891964</v>
      </c>
    </row>
    <row r="941" spans="1:5" x14ac:dyDescent="0.3">
      <c r="A941" s="1">
        <v>940</v>
      </c>
      <c r="B941" s="1">
        <v>0.83854995629999995</v>
      </c>
      <c r="C941" s="1">
        <v>-0.52112223329999996</v>
      </c>
      <c r="D941" s="1">
        <v>-0.22588565599999999</v>
      </c>
      <c r="E941" s="1">
        <v>1.0127974826999999</v>
      </c>
    </row>
    <row r="942" spans="1:5" x14ac:dyDescent="0.3">
      <c r="A942" s="1">
        <v>941</v>
      </c>
      <c r="B942" s="1">
        <v>0.84779623140000004</v>
      </c>
      <c r="C942" s="1">
        <v>-0.50804472270000001</v>
      </c>
      <c r="D942" s="1">
        <v>-0.22021624000000001</v>
      </c>
      <c r="E942" s="1">
        <v>1.0126021344</v>
      </c>
    </row>
    <row r="943" spans="1:5" x14ac:dyDescent="0.3">
      <c r="A943" s="1">
        <v>942</v>
      </c>
      <c r="B943" s="1">
        <v>0.85680081760000004</v>
      </c>
      <c r="C943" s="1">
        <v>-0.49482239290000002</v>
      </c>
      <c r="D943" s="1">
        <v>-0.21448405079999999</v>
      </c>
      <c r="E943" s="1">
        <v>1.0124032051</v>
      </c>
    </row>
    <row r="944" spans="1:5" x14ac:dyDescent="0.3">
      <c r="A944" s="1">
        <v>943</v>
      </c>
      <c r="B944" s="1">
        <v>0.86556100479999998</v>
      </c>
      <c r="C944" s="1">
        <v>-0.48145893039999998</v>
      </c>
      <c r="D944" s="1">
        <v>-0.2086906868</v>
      </c>
      <c r="E944" s="1">
        <v>1.0122007495000001</v>
      </c>
    </row>
    <row r="945" spans="1:5" x14ac:dyDescent="0.3">
      <c r="A945" s="1">
        <v>944</v>
      </c>
      <c r="B945" s="1">
        <v>0.87407414640000003</v>
      </c>
      <c r="C945" s="1">
        <v>-0.4679580646</v>
      </c>
      <c r="D945" s="1">
        <v>-0.20283776470000001</v>
      </c>
      <c r="E945" s="1">
        <v>1.0119948234</v>
      </c>
    </row>
    <row r="946" spans="1:5" x14ac:dyDescent="0.3">
      <c r="A946" s="1">
        <v>945</v>
      </c>
      <c r="B946" s="1">
        <v>0.88233766120000001</v>
      </c>
      <c r="C946" s="1">
        <v>-0.45432356759999998</v>
      </c>
      <c r="D946" s="1">
        <v>-0.19692691970000001</v>
      </c>
      <c r="E946" s="1">
        <v>1.0117854833</v>
      </c>
    </row>
    <row r="947" spans="1:5" x14ac:dyDescent="0.3">
      <c r="A947" s="1">
        <v>946</v>
      </c>
      <c r="B947" s="1">
        <v>0.89034903330000004</v>
      </c>
      <c r="C947" s="1">
        <v>-0.44055925270000001</v>
      </c>
      <c r="D947" s="1">
        <v>-0.19095980509999999</v>
      </c>
      <c r="E947" s="1">
        <v>1.011572787</v>
      </c>
    </row>
    <row r="948" spans="1:5" x14ac:dyDescent="0.3">
      <c r="A948" s="1">
        <v>947</v>
      </c>
      <c r="B948" s="1">
        <v>0.89810581349999996</v>
      </c>
      <c r="C948" s="1">
        <v>-0.42666897409999999</v>
      </c>
      <c r="D948" s="1">
        <v>-0.18493809159999999</v>
      </c>
      <c r="E948" s="1">
        <v>1.0113567933000001</v>
      </c>
    </row>
    <row r="949" spans="1:5" x14ac:dyDescent="0.3">
      <c r="A949" s="1">
        <v>948</v>
      </c>
      <c r="B949" s="1">
        <v>0.90560561979999998</v>
      </c>
      <c r="C949" s="1">
        <v>-0.41265662549999998</v>
      </c>
      <c r="D949" s="1">
        <v>-0.1788634674</v>
      </c>
      <c r="E949" s="1">
        <v>1.0111375619</v>
      </c>
    </row>
    <row r="950" spans="1:5" x14ac:dyDescent="0.3">
      <c r="A950" s="1">
        <v>949</v>
      </c>
      <c r="B950" s="1">
        <v>0.91284613839999995</v>
      </c>
      <c r="C950" s="1">
        <v>-0.39852613939999998</v>
      </c>
      <c r="D950" s="1">
        <v>-0.17273763719999999</v>
      </c>
      <c r="E950" s="1">
        <v>1.0109151535000001</v>
      </c>
    </row>
    <row r="951" spans="1:5" x14ac:dyDescent="0.3">
      <c r="A951" s="1">
        <v>950</v>
      </c>
      <c r="B951" s="1">
        <v>0.91982512439999997</v>
      </c>
      <c r="C951" s="1">
        <v>-0.38428148639999998</v>
      </c>
      <c r="D951" s="1">
        <v>-0.16656232230000001</v>
      </c>
      <c r="E951" s="1">
        <v>1.0106896296000001</v>
      </c>
    </row>
    <row r="952" spans="1:5" x14ac:dyDescent="0.3">
      <c r="A952" s="1">
        <v>951</v>
      </c>
      <c r="B952" s="1">
        <v>0.92654040240000002</v>
      </c>
      <c r="C952" s="1">
        <v>-0.3699266739</v>
      </c>
      <c r="D952" s="1">
        <v>-0.1603392602</v>
      </c>
      <c r="E952" s="1">
        <v>1.010461053</v>
      </c>
    </row>
    <row r="953" spans="1:5" x14ac:dyDescent="0.3">
      <c r="A953" s="1">
        <v>952</v>
      </c>
      <c r="B953" s="1">
        <v>0.93298986750000001</v>
      </c>
      <c r="C953" s="1">
        <v>-0.35546574549999999</v>
      </c>
      <c r="D953" s="1">
        <v>-0.15407020360000001</v>
      </c>
      <c r="E953" s="1">
        <v>1.0102294871999999</v>
      </c>
    </row>
    <row r="954" spans="1:5" x14ac:dyDescent="0.3">
      <c r="A954" s="1">
        <v>953</v>
      </c>
      <c r="B954" s="1">
        <v>0.939171486</v>
      </c>
      <c r="C954" s="1">
        <v>-0.34090277969999999</v>
      </c>
      <c r="D954" s="1">
        <v>-0.1477569208</v>
      </c>
      <c r="E954" s="1">
        <v>1.0099949964999999</v>
      </c>
    </row>
    <row r="955" spans="1:5" x14ac:dyDescent="0.3">
      <c r="A955" s="1">
        <v>954</v>
      </c>
      <c r="B955" s="1">
        <v>0.94508329599999996</v>
      </c>
      <c r="C955" s="1">
        <v>-0.32624188900000001</v>
      </c>
      <c r="D955" s="1">
        <v>-0.1414011946</v>
      </c>
      <c r="E955" s="1">
        <v>1.0097576464</v>
      </c>
    </row>
    <row r="956" spans="1:5" x14ac:dyDescent="0.3">
      <c r="A956" s="1">
        <v>955</v>
      </c>
      <c r="B956" s="1">
        <v>0.95072340830000002</v>
      </c>
      <c r="C956" s="1">
        <v>-0.31148721930000001</v>
      </c>
      <c r="D956" s="1">
        <v>-0.13500482220000001</v>
      </c>
      <c r="E956" s="1">
        <v>1.0095175031000001</v>
      </c>
    </row>
    <row r="957" spans="1:5" x14ac:dyDescent="0.3">
      <c r="A957" s="1">
        <v>956</v>
      </c>
      <c r="B957" s="1">
        <v>0.95609000700000002</v>
      </c>
      <c r="C957" s="1">
        <v>-0.29664294839999999</v>
      </c>
      <c r="D957" s="1">
        <v>-0.12856961489999999</v>
      </c>
      <c r="E957" s="1">
        <v>1.0092746337</v>
      </c>
    </row>
    <row r="958" spans="1:5" x14ac:dyDescent="0.3">
      <c r="A958" s="1">
        <v>957</v>
      </c>
      <c r="B958" s="1">
        <v>0.96118135010000005</v>
      </c>
      <c r="C958" s="1">
        <v>-0.2817132852</v>
      </c>
      <c r="D958" s="1">
        <v>-0.12209739729999999</v>
      </c>
      <c r="E958" s="1">
        <v>1.0090291063000001</v>
      </c>
    </row>
    <row r="959" spans="1:5" x14ac:dyDescent="0.3">
      <c r="A959" s="1">
        <v>958</v>
      </c>
      <c r="B959" s="1">
        <v>0.96599577039999995</v>
      </c>
      <c r="C959" s="1">
        <v>-0.26670246860000002</v>
      </c>
      <c r="D959" s="1">
        <v>-0.1155900069</v>
      </c>
      <c r="E959" s="1">
        <v>1.0087809896</v>
      </c>
    </row>
    <row r="960" spans="1:5" x14ac:dyDescent="0.3">
      <c r="A960" s="1">
        <v>959</v>
      </c>
      <c r="B960" s="1">
        <v>0.97053167600000001</v>
      </c>
      <c r="C960" s="1">
        <v>-0.25161476669999999</v>
      </c>
      <c r="D960" s="1">
        <v>-0.1090492941</v>
      </c>
      <c r="E960" s="1">
        <v>1.0085303533000001</v>
      </c>
    </row>
    <row r="961" spans="1:5" x14ac:dyDescent="0.3">
      <c r="A961" s="1">
        <v>960</v>
      </c>
      <c r="B961" s="1">
        <v>0.97478755100000003</v>
      </c>
      <c r="C961" s="1">
        <v>-0.23645447529999999</v>
      </c>
      <c r="D961" s="1">
        <v>-0.1024771213</v>
      </c>
      <c r="E961" s="1">
        <v>1.0082772679000001</v>
      </c>
    </row>
    <row r="962" spans="1:5" x14ac:dyDescent="0.3">
      <c r="A962" s="1">
        <v>961</v>
      </c>
      <c r="B962" s="1">
        <v>0.97876195629999996</v>
      </c>
      <c r="C962" s="1">
        <v>-0.22122591729999999</v>
      </c>
      <c r="D962" s="1">
        <v>-9.5875362199999994E-2</v>
      </c>
      <c r="E962" s="1">
        <v>1.0080218046</v>
      </c>
    </row>
    <row r="963" spans="1:5" x14ac:dyDescent="0.3">
      <c r="A963" s="1">
        <v>962</v>
      </c>
      <c r="B963" s="1">
        <v>0.9824535298</v>
      </c>
      <c r="C963" s="1">
        <v>-0.20593344120000001</v>
      </c>
      <c r="D963" s="1">
        <v>-8.9245902299999999E-2</v>
      </c>
      <c r="E963" s="1">
        <v>1.0077640355999999</v>
      </c>
    </row>
    <row r="964" spans="1:5" x14ac:dyDescent="0.3">
      <c r="A964" s="1">
        <v>963</v>
      </c>
      <c r="B964" s="1">
        <v>0.98586098740000006</v>
      </c>
      <c r="C964" s="1">
        <v>-0.19058142040000001</v>
      </c>
      <c r="D964" s="1">
        <v>-8.2590637300000005E-2</v>
      </c>
      <c r="E964" s="1">
        <v>1.0075040336000001</v>
      </c>
    </row>
    <row r="965" spans="1:5" x14ac:dyDescent="0.3">
      <c r="A965" s="1">
        <v>964</v>
      </c>
      <c r="B965" s="1">
        <v>0.98898312359999996</v>
      </c>
      <c r="C965" s="1">
        <v>-0.17517425180000001</v>
      </c>
      <c r="D965" s="1">
        <v>-7.5911473399999999E-2</v>
      </c>
      <c r="E965" s="1">
        <v>1.0072418721</v>
      </c>
    </row>
    <row r="966" spans="1:5" x14ac:dyDescent="0.3">
      <c r="A966" s="1">
        <v>965</v>
      </c>
      <c r="B966" s="1">
        <v>0.99181881159999996</v>
      </c>
      <c r="C966" s="1">
        <v>-0.1597163546</v>
      </c>
      <c r="D966" s="1">
        <v>-6.92103263E-2</v>
      </c>
      <c r="E966" s="1">
        <v>1.0069776255</v>
      </c>
    </row>
    <row r="967" spans="1:5" x14ac:dyDescent="0.3">
      <c r="A967" s="1">
        <v>966</v>
      </c>
      <c r="B967" s="1">
        <v>0.99436700460000005</v>
      </c>
      <c r="C967" s="1">
        <v>-0.1442121696</v>
      </c>
      <c r="D967" s="1">
        <v>-6.2489121199999997E-2</v>
      </c>
      <c r="E967" s="1">
        <v>1.0067113688</v>
      </c>
    </row>
    <row r="968" spans="1:5" x14ac:dyDescent="0.3">
      <c r="A968" s="1">
        <v>967</v>
      </c>
      <c r="B968" s="1">
        <v>0.99662673570000004</v>
      </c>
      <c r="C968" s="1">
        <v>-0.1286661576</v>
      </c>
      <c r="D968" s="1">
        <v>-5.5749791899999998E-2</v>
      </c>
      <c r="E968" s="1">
        <v>1.0064431776</v>
      </c>
    </row>
    <row r="969" spans="1:5" x14ac:dyDescent="0.3">
      <c r="A969" s="1">
        <v>968</v>
      </c>
      <c r="B969" s="1">
        <v>0.99859711849999999</v>
      </c>
      <c r="C969" s="1">
        <v>-0.11308279860000001</v>
      </c>
      <c r="D969" s="1">
        <v>-4.8994280500000001E-2</v>
      </c>
      <c r="E969" s="1">
        <v>1.0061731281999999</v>
      </c>
    </row>
    <row r="970" spans="1:5" x14ac:dyDescent="0.3">
      <c r="A970" s="1">
        <v>969</v>
      </c>
      <c r="B970" s="1">
        <v>1.0002773482</v>
      </c>
      <c r="C970" s="1">
        <v>-9.74665901E-2</v>
      </c>
      <c r="D970" s="1">
        <v>-4.2224536700000002E-2</v>
      </c>
      <c r="E970" s="1">
        <v>1.0059012977999999</v>
      </c>
    </row>
    <row r="971" spans="1:5" x14ac:dyDescent="0.3">
      <c r="A971" s="1">
        <v>970</v>
      </c>
      <c r="B971" s="1">
        <v>1.0016667012</v>
      </c>
      <c r="C971" s="1">
        <v>-8.1822046600000004E-2</v>
      </c>
      <c r="D971" s="1">
        <v>-3.5442517600000001E-2</v>
      </c>
      <c r="E971" s="1">
        <v>1.005627764</v>
      </c>
    </row>
    <row r="972" spans="1:5" x14ac:dyDescent="0.3">
      <c r="A972" s="1">
        <v>971</v>
      </c>
      <c r="B972" s="1">
        <v>1.0027645363</v>
      </c>
      <c r="C972" s="1">
        <v>-6.6153697799999994E-2</v>
      </c>
      <c r="D972" s="1">
        <v>-2.8650186899999999E-2</v>
      </c>
      <c r="E972" s="1">
        <v>1.0053526048999999</v>
      </c>
    </row>
    <row r="973" spans="1:5" x14ac:dyDescent="0.3">
      <c r="A973" s="1">
        <v>972</v>
      </c>
      <c r="B973" s="1">
        <v>1.0035702947</v>
      </c>
      <c r="C973" s="1">
        <v>-5.0466087899999998E-2</v>
      </c>
      <c r="D973" s="1">
        <v>-2.18495145E-2</v>
      </c>
      <c r="E973" s="1">
        <v>1.0050758995</v>
      </c>
    </row>
    <row r="974" spans="1:5" x14ac:dyDescent="0.3">
      <c r="A974" s="1">
        <v>973</v>
      </c>
      <c r="B974" s="1">
        <v>1.0040835008</v>
      </c>
      <c r="C974" s="1">
        <v>-3.47637737E-2</v>
      </c>
      <c r="D974" s="1">
        <v>-1.50424758E-2</v>
      </c>
      <c r="E974" s="1">
        <v>1.0047977271999999</v>
      </c>
    </row>
    <row r="975" spans="1:5" x14ac:dyDescent="0.3">
      <c r="A975" s="1">
        <v>974</v>
      </c>
      <c r="B975" s="1">
        <v>1.0043037620999999</v>
      </c>
      <c r="C975" s="1">
        <v>-1.9051324200000001E-2</v>
      </c>
      <c r="D975" s="1">
        <v>-8.2310514999999994E-3</v>
      </c>
      <c r="E975" s="1">
        <v>1.0045181678999999</v>
      </c>
    </row>
    <row r="976" spans="1:5" x14ac:dyDescent="0.3">
      <c r="A976" s="1">
        <v>975</v>
      </c>
      <c r="B976" s="1">
        <v>1.0042307702</v>
      </c>
      <c r="C976" s="1">
        <v>-3.3333185999999998E-3</v>
      </c>
      <c r="D976" s="1">
        <v>-1.4172267E-3</v>
      </c>
      <c r="E976" s="1">
        <v>1.0042373023</v>
      </c>
    </row>
    <row r="977" spans="1:5" x14ac:dyDescent="0.3">
      <c r="A977" s="1">
        <v>976</v>
      </c>
      <c r="B977" s="1">
        <v>1.0038643006000001</v>
      </c>
      <c r="C977" s="1">
        <v>1.23856543E-2</v>
      </c>
      <c r="D977" s="1">
        <v>5.3970093E-3</v>
      </c>
      <c r="E977" s="1">
        <v>1.0039552113000001</v>
      </c>
    </row>
    <row r="978" spans="1:5" x14ac:dyDescent="0.3">
      <c r="A978" s="1">
        <v>977</v>
      </c>
      <c r="B978" s="1">
        <v>1.0032042135999999</v>
      </c>
      <c r="C978" s="1">
        <v>2.81009981E-2</v>
      </c>
      <c r="D978" s="1">
        <v>1.2209663900000001E-2</v>
      </c>
      <c r="E978" s="1">
        <v>1.0036719763999999</v>
      </c>
    </row>
    <row r="979" spans="1:5" x14ac:dyDescent="0.3">
      <c r="A979" s="1">
        <v>978</v>
      </c>
      <c r="B979" s="1">
        <v>1.0022504539999999</v>
      </c>
      <c r="C979" s="1">
        <v>4.3808109499999998E-2</v>
      </c>
      <c r="D979" s="1">
        <v>1.9018741700000001E-2</v>
      </c>
      <c r="E979" s="1">
        <v>1.0033876796000001</v>
      </c>
    </row>
    <row r="980" spans="1:5" x14ac:dyDescent="0.3">
      <c r="A980" s="1">
        <v>979</v>
      </c>
      <c r="B980" s="1">
        <v>1.0010030521</v>
      </c>
      <c r="C980" s="1">
        <v>5.9502379699999997E-2</v>
      </c>
      <c r="D980" s="1">
        <v>2.5822244500000001E-2</v>
      </c>
      <c r="E980" s="1">
        <v>1.0031024034</v>
      </c>
    </row>
    <row r="981" spans="1:5" x14ac:dyDescent="0.3">
      <c r="A981" s="1">
        <v>980</v>
      </c>
      <c r="B981" s="1">
        <v>0.99946212320000005</v>
      </c>
      <c r="C981" s="1">
        <v>7.5179195899999995E-2</v>
      </c>
      <c r="D981" s="1">
        <v>3.2618172899999999E-2</v>
      </c>
      <c r="E981" s="1">
        <v>1.0028162306999999</v>
      </c>
    </row>
    <row r="982" spans="1:5" x14ac:dyDescent="0.3">
      <c r="A982" s="1">
        <v>981</v>
      </c>
      <c r="B982" s="1">
        <v>0.99762786879999998</v>
      </c>
      <c r="C982" s="1">
        <v>9.0833942599999995E-2</v>
      </c>
      <c r="D982" s="1">
        <v>3.9404525900000001E-2</v>
      </c>
      <c r="E982" s="1">
        <v>1.0025292446</v>
      </c>
    </row>
    <row r="983" spans="1:5" x14ac:dyDescent="0.3">
      <c r="A983" s="1">
        <v>982</v>
      </c>
      <c r="B983" s="1">
        <v>0.99550057579999995</v>
      </c>
      <c r="C983" s="1">
        <v>0.1064620025</v>
      </c>
      <c r="D983" s="1">
        <v>4.61793021E-2</v>
      </c>
      <c r="E983" s="1">
        <v>1.0022415289</v>
      </c>
    </row>
    <row r="984" spans="1:5" x14ac:dyDescent="0.3">
      <c r="A984" s="1">
        <v>983</v>
      </c>
      <c r="B984" s="1">
        <v>0.99308061749999998</v>
      </c>
      <c r="C984" s="1">
        <v>0.1220587586</v>
      </c>
      <c r="D984" s="1">
        <v>5.2940499699999997E-2</v>
      </c>
      <c r="E984" s="1">
        <v>1.0019531675</v>
      </c>
    </row>
    <row r="985" spans="1:5" x14ac:dyDescent="0.3">
      <c r="A985" s="1">
        <v>984</v>
      </c>
      <c r="B985" s="1">
        <v>0.99036845360000003</v>
      </c>
      <c r="C985" s="1">
        <v>0.13761959479999999</v>
      </c>
      <c r="D985" s="1">
        <v>5.9686117800000001E-2</v>
      </c>
      <c r="E985" s="1">
        <v>1.0016642448999999</v>
      </c>
    </row>
    <row r="986" spans="1:5" x14ac:dyDescent="0.3">
      <c r="A986" s="1">
        <v>985</v>
      </c>
      <c r="B986" s="1">
        <v>0.98736463009999997</v>
      </c>
      <c r="C986" s="1">
        <v>0.15313989759999999</v>
      </c>
      <c r="D986" s="1">
        <v>6.6414156500000002E-2</v>
      </c>
      <c r="E986" s="1">
        <v>1.0013748455</v>
      </c>
    </row>
    <row r="987" spans="1:5" x14ac:dyDescent="0.3">
      <c r="A987" s="1">
        <v>986</v>
      </c>
      <c r="B987" s="1">
        <v>0.98406977979999999</v>
      </c>
      <c r="C987" s="1">
        <v>0.16861505760000001</v>
      </c>
      <c r="D987" s="1">
        <v>7.3122617400000006E-2</v>
      </c>
      <c r="E987" s="1">
        <v>1.0010850545000001</v>
      </c>
    </row>
    <row r="988" spans="1:5" x14ac:dyDescent="0.3">
      <c r="A988" s="1">
        <v>987</v>
      </c>
      <c r="B988" s="1">
        <v>0.98048462199999997</v>
      </c>
      <c r="C988" s="1">
        <v>0.18404047039999999</v>
      </c>
      <c r="D988" s="1">
        <v>7.9809504700000006E-2</v>
      </c>
      <c r="E988" s="1">
        <v>1.0007949569000001</v>
      </c>
    </row>
    <row r="989" spans="1:5" x14ac:dyDescent="0.3">
      <c r="A989" s="1">
        <v>988</v>
      </c>
      <c r="B989" s="1">
        <v>0.97660996300000003</v>
      </c>
      <c r="C989" s="1">
        <v>0.19941153850000001</v>
      </c>
      <c r="D989" s="1">
        <v>8.64728253E-2</v>
      </c>
      <c r="E989" s="1">
        <v>1.0005046382</v>
      </c>
    </row>
    <row r="990" spans="1:5" x14ac:dyDescent="0.3">
      <c r="A990" s="1">
        <v>989</v>
      </c>
      <c r="B990" s="1">
        <v>0.97244669610000001</v>
      </c>
      <c r="C990" s="1">
        <v>0.2147236723</v>
      </c>
      <c r="D990" s="1">
        <v>9.3110589699999996E-2</v>
      </c>
      <c r="E990" s="1">
        <v>1.0002141841000001</v>
      </c>
    </row>
    <row r="991" spans="1:5" x14ac:dyDescent="0.3">
      <c r="A991" s="1">
        <v>990</v>
      </c>
      <c r="B991" s="1">
        <v>0.96799580129999996</v>
      </c>
      <c r="C991" s="1">
        <v>0.22997229189999999</v>
      </c>
      <c r="D991" s="1">
        <v>9.9720812399999997E-2</v>
      </c>
      <c r="E991" s="1">
        <v>0.99992368050000002</v>
      </c>
    </row>
    <row r="992" spans="1:5" x14ac:dyDescent="0.3">
      <c r="A992" s="1">
        <v>991</v>
      </c>
      <c r="B992" s="1">
        <v>0.96325834560000001</v>
      </c>
      <c r="C992" s="1">
        <v>0.2451528278</v>
      </c>
      <c r="D992" s="1">
        <v>0.10630151259999999</v>
      </c>
      <c r="E992" s="1">
        <v>0.99963321319999998</v>
      </c>
    </row>
    <row r="993" spans="1:5" x14ac:dyDescent="0.3">
      <c r="A993" s="1">
        <v>992</v>
      </c>
      <c r="B993" s="1">
        <v>0.95823548300000005</v>
      </c>
      <c r="C993" s="1">
        <v>0.26026072319999999</v>
      </c>
      <c r="D993" s="1">
        <v>0.1128507149</v>
      </c>
      <c r="E993" s="1">
        <v>0.99934286849999998</v>
      </c>
    </row>
    <row r="994" spans="1:5" x14ac:dyDescent="0.3">
      <c r="A994" s="1">
        <v>993</v>
      </c>
      <c r="B994" s="1">
        <v>0.95292845439999996</v>
      </c>
      <c r="C994" s="1">
        <v>0.27529143480000001</v>
      </c>
      <c r="D994" s="1">
        <v>0.1193664498</v>
      </c>
      <c r="E994" s="1">
        <v>0.99905273260000005</v>
      </c>
    </row>
    <row r="995" spans="1:5" x14ac:dyDescent="0.3">
      <c r="A995" s="1">
        <v>994</v>
      </c>
      <c r="B995" s="1">
        <v>0.94733858739999999</v>
      </c>
      <c r="C995" s="1">
        <v>0.2902404341</v>
      </c>
      <c r="D995" s="1">
        <v>0.1258467543</v>
      </c>
      <c r="E995" s="1">
        <v>0.9987628919</v>
      </c>
    </row>
    <row r="996" spans="1:5" x14ac:dyDescent="0.3">
      <c r="A996" s="1">
        <v>995</v>
      </c>
      <c r="B996" s="1">
        <v>0.94146729640000004</v>
      </c>
      <c r="C996" s="1">
        <v>0.30510320959999998</v>
      </c>
      <c r="D996" s="1">
        <v>0.13228967250000001</v>
      </c>
      <c r="E996" s="1">
        <v>0.9984734328</v>
      </c>
    </row>
    <row r="997" spans="1:5" x14ac:dyDescent="0.3">
      <c r="A997" s="1">
        <v>996</v>
      </c>
      <c r="B997" s="1">
        <v>0.93531608229999996</v>
      </c>
      <c r="C997" s="1">
        <v>0.31987526729999999</v>
      </c>
      <c r="D997" s="1">
        <v>0.13869325639999999</v>
      </c>
      <c r="E997" s="1">
        <v>0.99818444179999999</v>
      </c>
    </row>
    <row r="998" spans="1:5" x14ac:dyDescent="0.3">
      <c r="A998" s="1">
        <v>997</v>
      </c>
      <c r="B998" s="1">
        <v>0.92888653249999997</v>
      </c>
      <c r="C998" s="1">
        <v>0.3345521327</v>
      </c>
      <c r="D998" s="1">
        <v>0.14505556629999999</v>
      </c>
      <c r="E998" s="1">
        <v>0.99789600519999999</v>
      </c>
    </row>
    <row r="999" spans="1:5" x14ac:dyDescent="0.3">
      <c r="A999" s="1">
        <v>998</v>
      </c>
      <c r="B999" s="1">
        <v>0.9221803207</v>
      </c>
      <c r="C999" s="1">
        <v>0.34912935220000002</v>
      </c>
      <c r="D999" s="1">
        <v>0.15137467160000001</v>
      </c>
      <c r="E999" s="1">
        <v>0.99760820949999995</v>
      </c>
    </row>
    <row r="1000" spans="1:5" x14ac:dyDescent="0.3">
      <c r="A1000" s="1">
        <v>999</v>
      </c>
      <c r="B1000" s="1">
        <v>0.91519920649999997</v>
      </c>
      <c r="C1000" s="1">
        <v>0.36360249430000002</v>
      </c>
      <c r="D1000" s="1">
        <v>0.1576486513</v>
      </c>
      <c r="E1000" s="1">
        <v>0.99732114120000004</v>
      </c>
    </row>
    <row r="1001" spans="1:5" x14ac:dyDescent="0.3">
      <c r="A1001" s="1">
        <v>1000</v>
      </c>
      <c r="B1001" s="1">
        <v>0.90794503540000004</v>
      </c>
      <c r="C1001" s="1">
        <v>0.37796715110000001</v>
      </c>
      <c r="D1001" s="1">
        <v>0.16387559460000001</v>
      </c>
      <c r="E1001" s="1">
        <v>0.99703488659999995</v>
      </c>
    </row>
    <row r="1002" spans="1:5" x14ac:dyDescent="0.3">
      <c r="A1002" s="1">
        <v>1001</v>
      </c>
      <c r="B1002" s="1">
        <v>0.90041973819999999</v>
      </c>
      <c r="C1002" s="1">
        <v>0.39221893990000001</v>
      </c>
      <c r="D1002" s="1">
        <v>0.17005360159999999</v>
      </c>
      <c r="E1002" s="1">
        <v>0.99674953180000003</v>
      </c>
    </row>
    <row r="1003" spans="1:5" x14ac:dyDescent="0.3">
      <c r="A1003" s="1">
        <v>1002</v>
      </c>
      <c r="B1003" s="1">
        <v>0.89262533119999998</v>
      </c>
      <c r="C1003" s="1">
        <v>0.40635350469999998</v>
      </c>
      <c r="D1003" s="1">
        <v>0.1761807839</v>
      </c>
      <c r="E1003" s="1">
        <v>0.9964651631</v>
      </c>
    </row>
    <row r="1004" spans="1:5" x14ac:dyDescent="0.3">
      <c r="A1004" s="1">
        <v>1003</v>
      </c>
      <c r="B1004" s="1">
        <v>0.8845639153</v>
      </c>
      <c r="C1004" s="1">
        <v>0.4203665171</v>
      </c>
      <c r="D1004" s="1">
        <v>0.18225526550000001</v>
      </c>
      <c r="E1004" s="1">
        <v>0.99618186630000005</v>
      </c>
    </row>
    <row r="1005" spans="1:5" x14ac:dyDescent="0.3">
      <c r="A1005" s="1">
        <v>1004</v>
      </c>
      <c r="B1005" s="1">
        <v>0.87623767610000003</v>
      </c>
      <c r="C1005" s="1">
        <v>0.43425367860000003</v>
      </c>
      <c r="D1005" s="1">
        <v>0.18827518260000001</v>
      </c>
      <c r="E1005" s="1">
        <v>0.99589972729999998</v>
      </c>
    </row>
    <row r="1006" spans="1:5" x14ac:dyDescent="0.3">
      <c r="A1006" s="1">
        <v>1005</v>
      </c>
      <c r="B1006" s="1">
        <v>0.86764888330000001</v>
      </c>
      <c r="C1006" s="1">
        <v>0.44801072110000001</v>
      </c>
      <c r="D1006" s="1">
        <v>0.1942386854</v>
      </c>
      <c r="E1006" s="1">
        <v>0.99561883159999998</v>
      </c>
    </row>
    <row r="1007" spans="1:5" x14ac:dyDescent="0.3">
      <c r="A1007" s="1">
        <v>1006</v>
      </c>
      <c r="B1007" s="1">
        <v>0.85879989020000003</v>
      </c>
      <c r="C1007" s="1">
        <v>0.46163340920000001</v>
      </c>
      <c r="D1007" s="1">
        <v>0.2001439378</v>
      </c>
      <c r="E1007" s="1">
        <v>0.9953392646</v>
      </c>
    </row>
    <row r="1008" spans="1:5" x14ac:dyDescent="0.3">
      <c r="A1008" s="1">
        <v>1007</v>
      </c>
      <c r="B1008" s="1">
        <v>0.84969313319999995</v>
      </c>
      <c r="C1008" s="1">
        <v>0.47511754099999998</v>
      </c>
      <c r="D1008" s="1">
        <v>0.20598911819999999</v>
      </c>
      <c r="E1008" s="1">
        <v>0.99506111129999997</v>
      </c>
    </row>
    <row r="1009" spans="1:5" x14ac:dyDescent="0.3">
      <c r="A1009" s="1">
        <v>1008</v>
      </c>
      <c r="B1009" s="1">
        <v>0.84033113169999996</v>
      </c>
      <c r="C1009" s="1">
        <v>0.48845895010000001</v>
      </c>
      <c r="D1009" s="1">
        <v>0.21177242069999999</v>
      </c>
      <c r="E1009" s="1">
        <v>0.99478445660000003</v>
      </c>
    </row>
    <row r="1010" spans="1:5" x14ac:dyDescent="0.3">
      <c r="A1010" s="1">
        <v>1009</v>
      </c>
      <c r="B1010" s="1">
        <v>0.83071648730000003</v>
      </c>
      <c r="C1010" s="1">
        <v>0.50165350649999996</v>
      </c>
      <c r="D1010" s="1">
        <v>0.2174920548</v>
      </c>
      <c r="E1010" s="1">
        <v>0.99450938489999996</v>
      </c>
    </row>
    <row r="1011" spans="1:5" x14ac:dyDescent="0.3">
      <c r="A1011" s="1">
        <v>1010</v>
      </c>
      <c r="B1011" s="1">
        <v>0.8208518829</v>
      </c>
      <c r="C1011" s="1">
        <v>0.51469711819999997</v>
      </c>
      <c r="D1011" s="1">
        <v>0.2231462468</v>
      </c>
      <c r="E1011" s="1">
        <v>0.99423598040000005</v>
      </c>
    </row>
    <row r="1012" spans="1:5" x14ac:dyDescent="0.3">
      <c r="A1012" s="1">
        <v>1011</v>
      </c>
      <c r="B1012" s="1">
        <v>0.81074008289999999</v>
      </c>
      <c r="C1012" s="1">
        <v>0.527585733</v>
      </c>
      <c r="D1012" s="1">
        <v>0.22873324010000001</v>
      </c>
      <c r="E1012" s="1">
        <v>0.99396432680000002</v>
      </c>
    </row>
    <row r="1013" spans="1:5" x14ac:dyDescent="0.3">
      <c r="A1013" s="1">
        <v>1012</v>
      </c>
      <c r="B1013" s="1">
        <v>0.80038393200000002</v>
      </c>
      <c r="C1013" s="1">
        <v>0.54031533939999998</v>
      </c>
      <c r="D1013" s="1">
        <v>0.2342512957</v>
      </c>
      <c r="E1013" s="1">
        <v>0.99369450739999998</v>
      </c>
    </row>
    <row r="1014" spans="1:5" x14ac:dyDescent="0.3">
      <c r="A1014" s="1">
        <v>1013</v>
      </c>
      <c r="B1014" s="1">
        <v>0.78978635460000002</v>
      </c>
      <c r="C1014" s="1">
        <v>0.55288196820000002</v>
      </c>
      <c r="D1014" s="1">
        <v>0.23969869320000001</v>
      </c>
      <c r="E1014" s="1">
        <v>0.99342660530000004</v>
      </c>
    </row>
    <row r="1015" spans="1:5" x14ac:dyDescent="0.3">
      <c r="A1015" s="1">
        <v>1014</v>
      </c>
      <c r="B1015" s="1">
        <v>0.77895035430000004</v>
      </c>
      <c r="C1015" s="1">
        <v>0.56528169419999996</v>
      </c>
      <c r="D1015" s="1">
        <v>0.24507373090000001</v>
      </c>
      <c r="E1015" s="1">
        <v>0.99316070290000003</v>
      </c>
    </row>
    <row r="1016" spans="1:5" x14ac:dyDescent="0.3">
      <c r="A1016" s="1">
        <v>1015</v>
      </c>
      <c r="B1016" s="1">
        <v>0.76787901319999996</v>
      </c>
      <c r="C1016" s="1">
        <v>0.57751063709999995</v>
      </c>
      <c r="D1016" s="1">
        <v>0.25037472690000001</v>
      </c>
      <c r="E1016" s="1">
        <v>0.99289688220000005</v>
      </c>
    </row>
    <row r="1017" spans="1:5" x14ac:dyDescent="0.3">
      <c r="A1017" s="1">
        <v>1016</v>
      </c>
      <c r="B1017" s="1">
        <v>0.75657549089999998</v>
      </c>
      <c r="C1017" s="1">
        <v>0.58956496329999997</v>
      </c>
      <c r="D1017" s="1">
        <v>0.25560001939999999</v>
      </c>
      <c r="E1017" s="1">
        <v>0.99263522459999998</v>
      </c>
    </row>
    <row r="1018" spans="1:5" x14ac:dyDescent="0.3">
      <c r="A1018" s="1">
        <v>1017</v>
      </c>
      <c r="B1018" s="1">
        <v>0.745043024</v>
      </c>
      <c r="C1018" s="1">
        <v>0.60144088709999999</v>
      </c>
      <c r="D1018" s="1">
        <v>0.26074796719999999</v>
      </c>
      <c r="E1018" s="1">
        <v>0.99237581119999996</v>
      </c>
    </row>
    <row r="1019" spans="1:5" x14ac:dyDescent="0.3">
      <c r="A1019" s="1">
        <v>1018</v>
      </c>
      <c r="B1019" s="1">
        <v>0.73328492509999998</v>
      </c>
      <c r="C1019" s="1">
        <v>0.61313467219999995</v>
      </c>
      <c r="D1019" s="1">
        <v>0.26581695090000002</v>
      </c>
      <c r="E1019" s="1">
        <v>0.99211872229999998</v>
      </c>
    </row>
    <row r="1020" spans="1:5" x14ac:dyDescent="0.3">
      <c r="A1020" s="1">
        <v>1019</v>
      </c>
      <c r="B1020" s="1">
        <v>0.72130458210000004</v>
      </c>
      <c r="C1020" s="1">
        <v>0.624642633</v>
      </c>
      <c r="D1020" s="1">
        <v>0.27080537269999999</v>
      </c>
      <c r="E1020" s="1">
        <v>0.99186403759999997</v>
      </c>
    </row>
    <row r="1021" spans="1:5" x14ac:dyDescent="0.3">
      <c r="A1021" s="1">
        <v>1020</v>
      </c>
      <c r="B1021" s="1">
        <v>0.70910545729999996</v>
      </c>
      <c r="C1021" s="1">
        <v>0.63596113580000002</v>
      </c>
      <c r="D1021" s="1">
        <v>0.27571165759999999</v>
      </c>
      <c r="E1021" s="1">
        <v>0.99161183630000005</v>
      </c>
    </row>
    <row r="1022" spans="1:5" x14ac:dyDescent="0.3">
      <c r="A1022" s="1">
        <v>1021</v>
      </c>
      <c r="B1022" s="1">
        <v>0.69669108619999998</v>
      </c>
      <c r="C1022" s="1">
        <v>0.6470866005</v>
      </c>
      <c r="D1022" s="1">
        <v>0.28053425360000001</v>
      </c>
      <c r="E1022" s="1">
        <v>0.99136219699999995</v>
      </c>
    </row>
    <row r="1023" spans="1:5" x14ac:dyDescent="0.3">
      <c r="A1023" s="1">
        <v>1022</v>
      </c>
      <c r="B1023" s="1">
        <v>0.68406507689999996</v>
      </c>
      <c r="C1023" s="1">
        <v>0.65801550170000001</v>
      </c>
      <c r="D1023" s="1">
        <v>0.28527163259999999</v>
      </c>
      <c r="E1023" s="1">
        <v>0.99111519729999997</v>
      </c>
    </row>
    <row r="1024" spans="1:5" x14ac:dyDescent="0.3">
      <c r="A1024" s="1">
        <v>1023</v>
      </c>
      <c r="B1024" s="1">
        <v>0.67123110929999996</v>
      </c>
      <c r="C1024" s="1">
        <v>0.66874437009999999</v>
      </c>
      <c r="D1024" s="1">
        <v>0.28992229069999997</v>
      </c>
      <c r="E1024" s="1">
        <v>0.99087091459999999</v>
      </c>
    </row>
    <row r="1025" spans="1:5" x14ac:dyDescent="0.3">
      <c r="A1025" s="1">
        <v>1024</v>
      </c>
      <c r="B1025" s="1">
        <v>0.65819293349999997</v>
      </c>
      <c r="C1025" s="1">
        <v>0.67926979369999996</v>
      </c>
      <c r="D1025" s="1">
        <v>0.29448474889999998</v>
      </c>
      <c r="E1025" s="1">
        <v>0.99062942499999995</v>
      </c>
    </row>
    <row r="1026" spans="1:5" x14ac:dyDescent="0.3">
      <c r="A1026" s="1">
        <v>1025</v>
      </c>
      <c r="B1026" s="1">
        <v>0.64495436910000004</v>
      </c>
      <c r="C1026" s="1">
        <v>0.68958841930000003</v>
      </c>
      <c r="D1026" s="1">
        <v>0.29895755369999999</v>
      </c>
      <c r="E1026" s="1">
        <v>0.99039080430000004</v>
      </c>
    </row>
    <row r="1027" spans="1:5" x14ac:dyDescent="0.3">
      <c r="A1027" s="1">
        <v>1026</v>
      </c>
      <c r="B1027" s="1">
        <v>0.63151930420000002</v>
      </c>
      <c r="C1027" s="1">
        <v>0.69969695369999996</v>
      </c>
      <c r="D1027" s="1">
        <v>0.30333927760000001</v>
      </c>
      <c r="E1027" s="1">
        <v>0.99015512719999998</v>
      </c>
    </row>
    <row r="1028" spans="1:5" x14ac:dyDescent="0.3">
      <c r="A1028" s="1">
        <v>1027</v>
      </c>
      <c r="B1028" s="1">
        <v>0.61789169440000002</v>
      </c>
      <c r="C1028" s="1">
        <v>0.70959216469999997</v>
      </c>
      <c r="D1028" s="1">
        <v>0.30762851949999998</v>
      </c>
      <c r="E1028" s="1">
        <v>0.98992246780000004</v>
      </c>
    </row>
    <row r="1029" spans="1:5" x14ac:dyDescent="0.3">
      <c r="A1029" s="1">
        <v>1028</v>
      </c>
      <c r="B1029" s="1">
        <v>0.60407556110000005</v>
      </c>
      <c r="C1029" s="1">
        <v>0.71927088299999997</v>
      </c>
      <c r="D1029" s="1">
        <v>0.31182390560000001</v>
      </c>
      <c r="E1029" s="1">
        <v>0.98969289920000003</v>
      </c>
    </row>
    <row r="1030" spans="1:5" x14ac:dyDescent="0.3">
      <c r="A1030" s="1">
        <v>1029</v>
      </c>
      <c r="B1030" s="1">
        <v>0.59007499100000005</v>
      </c>
      <c r="C1030" s="1">
        <v>0.72873000259999998</v>
      </c>
      <c r="D1030" s="1">
        <v>0.31592408960000001</v>
      </c>
      <c r="E1030" s="1">
        <v>0.98946649369999995</v>
      </c>
    </row>
    <row r="1031" spans="1:5" x14ac:dyDescent="0.3">
      <c r="A1031" s="1">
        <v>1030</v>
      </c>
      <c r="B1031" s="1">
        <v>0.57589413460000005</v>
      </c>
      <c r="C1031" s="1">
        <v>0.7379664829</v>
      </c>
      <c r="D1031" s="1">
        <v>0.31992775340000001</v>
      </c>
      <c r="E1031" s="1">
        <v>0.98924332270000004</v>
      </c>
    </row>
    <row r="1032" spans="1:5" x14ac:dyDescent="0.3">
      <c r="A1032" s="1">
        <v>1031</v>
      </c>
      <c r="B1032" s="1">
        <v>0.56153720480000002</v>
      </c>
      <c r="C1032" s="1">
        <v>0.74697734910000002</v>
      </c>
      <c r="D1032" s="1">
        <v>0.32383360770000003</v>
      </c>
      <c r="E1032" s="1">
        <v>0.98902345670000003</v>
      </c>
    </row>
    <row r="1033" spans="1:5" x14ac:dyDescent="0.3">
      <c r="A1033" s="1">
        <v>1032</v>
      </c>
      <c r="B1033" s="1">
        <v>0.54700847610000003</v>
      </c>
      <c r="C1033" s="1">
        <v>0.75575969389999997</v>
      </c>
      <c r="D1033" s="1">
        <v>0.32764039210000001</v>
      </c>
      <c r="E1033" s="1">
        <v>0.9888069652</v>
      </c>
    </row>
    <row r="1034" spans="1:5" x14ac:dyDescent="0.3">
      <c r="A1034" s="1">
        <v>1033</v>
      </c>
      <c r="B1034" s="1">
        <v>0.53231228289999999</v>
      </c>
      <c r="C1034" s="1">
        <v>0.76431067850000001</v>
      </c>
      <c r="D1034" s="1">
        <v>0.33134687619999997</v>
      </c>
      <c r="E1034" s="1">
        <v>0.98859391669999996</v>
      </c>
    </row>
    <row r="1035" spans="1:5" x14ac:dyDescent="0.3">
      <c r="A1035" s="1">
        <v>1034</v>
      </c>
      <c r="B1035" s="1">
        <v>0.51745301840000002</v>
      </c>
      <c r="C1035" s="1">
        <v>0.77262753360000003</v>
      </c>
      <c r="D1035" s="1">
        <v>0.3349518595</v>
      </c>
      <c r="E1035" s="1">
        <v>0.98838437869999995</v>
      </c>
    </row>
    <row r="1036" spans="1:5" x14ac:dyDescent="0.3">
      <c r="A1036" s="1">
        <v>1035</v>
      </c>
      <c r="B1036" s="1">
        <v>0.50243513319999999</v>
      </c>
      <c r="C1036" s="1">
        <v>0.78070756080000003</v>
      </c>
      <c r="D1036" s="1">
        <v>0.33845417249999998</v>
      </c>
      <c r="E1036" s="1">
        <v>0.98817841780000004</v>
      </c>
    </row>
    <row r="1037" spans="1:5" x14ac:dyDescent="0.3">
      <c r="A1037" s="1">
        <v>1036</v>
      </c>
      <c r="B1037" s="1">
        <v>0.48726313409999999</v>
      </c>
      <c r="C1037" s="1">
        <v>0.78854813339999996</v>
      </c>
      <c r="D1037" s="1">
        <v>0.34185267660000002</v>
      </c>
      <c r="E1037" s="1">
        <v>0.98797609939999997</v>
      </c>
    </row>
    <row r="1038" spans="1:5" x14ac:dyDescent="0.3">
      <c r="A1038" s="1">
        <v>1037</v>
      </c>
      <c r="B1038" s="1">
        <v>0.47194158219999999</v>
      </c>
      <c r="C1038" s="1">
        <v>0.79614669780000002</v>
      </c>
      <c r="D1038" s="1">
        <v>0.3451462649</v>
      </c>
      <c r="E1038" s="1">
        <v>0.98777748789999997</v>
      </c>
    </row>
    <row r="1039" spans="1:5" x14ac:dyDescent="0.3">
      <c r="A1039" s="1">
        <v>1038</v>
      </c>
      <c r="B1039" s="1">
        <v>0.45647509200000003</v>
      </c>
      <c r="C1039" s="1">
        <v>0.8035007743</v>
      </c>
      <c r="D1039" s="1">
        <v>0.34833386259999999</v>
      </c>
      <c r="E1039" s="1">
        <v>0.98758264659999995</v>
      </c>
    </row>
    <row r="1040" spans="1:5" x14ac:dyDescent="0.3">
      <c r="A1040" s="1">
        <v>1039</v>
      </c>
      <c r="B1040" s="1">
        <v>0.44086832990000002</v>
      </c>
      <c r="C1040" s="1">
        <v>0.81060795819999998</v>
      </c>
      <c r="D1040" s="1">
        <v>0.3514144273</v>
      </c>
      <c r="E1040" s="1">
        <v>0.98739163760000004</v>
      </c>
    </row>
    <row r="1041" spans="1:5" x14ac:dyDescent="0.3">
      <c r="A1041" s="1">
        <v>1040</v>
      </c>
      <c r="B1041" s="1">
        <v>0.42512601220000001</v>
      </c>
      <c r="C1041" s="1">
        <v>0.81746592070000001</v>
      </c>
      <c r="D1041" s="1">
        <v>0.35438694970000001</v>
      </c>
      <c r="E1041" s="1">
        <v>0.98720452179999996</v>
      </c>
    </row>
    <row r="1042" spans="1:5" x14ac:dyDescent="0.3">
      <c r="A1042" s="1">
        <v>1041</v>
      </c>
      <c r="B1042" s="1">
        <v>0.40925290440000001</v>
      </c>
      <c r="C1042" s="1">
        <v>0.82407241009999999</v>
      </c>
      <c r="D1042" s="1">
        <v>0.35725045370000003</v>
      </c>
      <c r="E1042" s="1">
        <v>0.9870213592</v>
      </c>
    </row>
    <row r="1043" spans="1:5" x14ac:dyDescent="0.3">
      <c r="A1043" s="1">
        <v>1042</v>
      </c>
      <c r="B1043" s="1">
        <v>0.39325381879999999</v>
      </c>
      <c r="C1043" s="1">
        <v>0.8304252526</v>
      </c>
      <c r="D1043" s="1">
        <v>0.36000399719999998</v>
      </c>
      <c r="E1043" s="1">
        <v>0.98684220830000002</v>
      </c>
    </row>
    <row r="1044" spans="1:5" x14ac:dyDescent="0.3">
      <c r="A1044" s="1">
        <v>1043</v>
      </c>
      <c r="B1044" s="1">
        <v>0.37713361369999998</v>
      </c>
      <c r="C1044" s="1">
        <v>0.83652235320000001</v>
      </c>
      <c r="D1044" s="1">
        <v>0.362646672</v>
      </c>
      <c r="E1044" s="1">
        <v>0.9866671266</v>
      </c>
    </row>
    <row r="1045" spans="1:5" x14ac:dyDescent="0.3">
      <c r="A1045" s="1">
        <v>1044</v>
      </c>
      <c r="B1045" s="1">
        <v>0.36089719129999998</v>
      </c>
      <c r="C1045" s="1">
        <v>0.84236169670000005</v>
      </c>
      <c r="D1045" s="1">
        <v>0.36517760469999999</v>
      </c>
      <c r="E1045" s="1">
        <v>0.98649617010000001</v>
      </c>
    </row>
    <row r="1046" spans="1:5" x14ac:dyDescent="0.3">
      <c r="A1046" s="1">
        <v>1045</v>
      </c>
      <c r="B1046" s="1">
        <v>0.34454949629999998</v>
      </c>
      <c r="C1046" s="1">
        <v>0.84794134840000002</v>
      </c>
      <c r="D1046" s="1">
        <v>0.36759595680000001</v>
      </c>
      <c r="E1046" s="1">
        <v>0.98632939379999995</v>
      </c>
    </row>
    <row r="1047" spans="1:5" x14ac:dyDescent="0.3">
      <c r="A1047" s="1">
        <v>1046</v>
      </c>
      <c r="B1047" s="1">
        <v>0.32809551450000002</v>
      </c>
      <c r="C1047" s="1">
        <v>0.85325945510000001</v>
      </c>
      <c r="D1047" s="1">
        <v>0.36990092499999999</v>
      </c>
      <c r="E1047" s="1">
        <v>0.98616685130000004</v>
      </c>
    </row>
    <row r="1048" spans="1:5" x14ac:dyDescent="0.3">
      <c r="A1048" s="1">
        <v>1047</v>
      </c>
      <c r="B1048" s="1">
        <v>0.31154027039999999</v>
      </c>
      <c r="C1048" s="1">
        <v>0.85831424590000005</v>
      </c>
      <c r="D1048" s="1">
        <v>0.37209174179999999</v>
      </c>
      <c r="E1048" s="1">
        <v>0.98600859490000003</v>
      </c>
    </row>
    <row r="1049" spans="1:5" x14ac:dyDescent="0.3">
      <c r="A1049" s="1">
        <v>1048</v>
      </c>
      <c r="B1049" s="1">
        <v>0.29488882649999998</v>
      </c>
      <c r="C1049" s="1">
        <v>0.86310403290000004</v>
      </c>
      <c r="D1049" s="1">
        <v>0.37416767560000003</v>
      </c>
      <c r="E1049" s="1">
        <v>0.98585467550000005</v>
      </c>
    </row>
    <row r="1050" spans="1:5" x14ac:dyDescent="0.3">
      <c r="A1050" s="1">
        <v>1049</v>
      </c>
      <c r="B1050" s="1">
        <v>0.27814628089999999</v>
      </c>
      <c r="C1050" s="1">
        <v>0.86762721200000004</v>
      </c>
      <c r="D1050" s="1">
        <v>0.37612803109999998</v>
      </c>
      <c r="E1050" s="1">
        <v>0.98570514269999998</v>
      </c>
    </row>
    <row r="1051" spans="1:5" x14ac:dyDescent="0.3">
      <c r="A1051" s="1">
        <v>1050</v>
      </c>
      <c r="B1051" s="1">
        <v>0.26131776579999999</v>
      </c>
      <c r="C1051" s="1">
        <v>0.87188226349999998</v>
      </c>
      <c r="D1051" s="1">
        <v>0.37797214959999997</v>
      </c>
      <c r="E1051" s="1">
        <v>0.98556004480000003</v>
      </c>
    </row>
    <row r="1052" spans="1:5" x14ac:dyDescent="0.3">
      <c r="A1052" s="1">
        <v>1051</v>
      </c>
      <c r="B1052" s="1">
        <v>0.24440844580000001</v>
      </c>
      <c r="C1052" s="1">
        <v>0.87586775279999995</v>
      </c>
      <c r="D1052" s="1">
        <v>0.37969940959999998</v>
      </c>
      <c r="E1052" s="1">
        <v>0.98541942869999999</v>
      </c>
    </row>
    <row r="1053" spans="1:5" x14ac:dyDescent="0.3">
      <c r="A1053" s="1">
        <v>1052</v>
      </c>
      <c r="B1053" s="1">
        <v>0.22742351620000001</v>
      </c>
      <c r="C1053" s="1">
        <v>0.87958233139999997</v>
      </c>
      <c r="D1053" s="1">
        <v>0.38130922639999998</v>
      </c>
      <c r="E1053" s="1">
        <v>0.98528333970000004</v>
      </c>
    </row>
    <row r="1054" spans="1:5" x14ac:dyDescent="0.3">
      <c r="A1054" s="1">
        <v>1053</v>
      </c>
      <c r="B1054" s="1">
        <v>0.210368201</v>
      </c>
      <c r="C1054" s="1">
        <v>0.88302473699999995</v>
      </c>
      <c r="D1054" s="1">
        <v>0.382801053</v>
      </c>
      <c r="E1054" s="1">
        <v>0.98515182199999995</v>
      </c>
    </row>
    <row r="1055" spans="1:5" x14ac:dyDescent="0.3">
      <c r="A1055" s="1">
        <v>1054</v>
      </c>
      <c r="B1055" s="1">
        <v>0.19324775129999999</v>
      </c>
      <c r="C1055" s="1">
        <v>0.88619379450000002</v>
      </c>
      <c r="D1055" s="1">
        <v>0.3841743802</v>
      </c>
      <c r="E1055" s="1">
        <v>0.98502491800000003</v>
      </c>
    </row>
    <row r="1056" spans="1:5" x14ac:dyDescent="0.3">
      <c r="A1056" s="1">
        <v>1055</v>
      </c>
      <c r="B1056" s="1">
        <v>0.17606744360000001</v>
      </c>
      <c r="C1056" s="1">
        <v>0.8890884161</v>
      </c>
      <c r="D1056" s="1">
        <v>0.38542873649999998</v>
      </c>
      <c r="E1056" s="1">
        <v>0.98490266900000001</v>
      </c>
    </row>
    <row r="1057" spans="1:5" x14ac:dyDescent="0.3">
      <c r="A1057" s="1">
        <v>1056</v>
      </c>
      <c r="B1057" s="1">
        <v>0.15883257749999999</v>
      </c>
      <c r="C1057" s="1">
        <v>0.89170760250000003</v>
      </c>
      <c r="D1057" s="1">
        <v>0.38656368889999998</v>
      </c>
      <c r="E1057" s="1">
        <v>0.98478511440000005</v>
      </c>
    </row>
    <row r="1058" spans="1:5" x14ac:dyDescent="0.3">
      <c r="A1058" s="1">
        <v>1057</v>
      </c>
      <c r="B1058" s="1">
        <v>0.1415484746</v>
      </c>
      <c r="C1058" s="1">
        <v>0.89405044259999999</v>
      </c>
      <c r="D1058" s="1">
        <v>0.38757884250000002</v>
      </c>
      <c r="E1058" s="1">
        <v>0.9846722926</v>
      </c>
    </row>
    <row r="1059" spans="1:5" x14ac:dyDescent="0.3">
      <c r="A1059" s="1">
        <v>1058</v>
      </c>
      <c r="B1059" s="1">
        <v>0.12422047579999999</v>
      </c>
      <c r="C1059" s="1">
        <v>0.89611611449999995</v>
      </c>
      <c r="D1059" s="1">
        <v>0.38847384130000001</v>
      </c>
      <c r="E1059" s="1">
        <v>0.98456423999999998</v>
      </c>
    </row>
    <row r="1060" spans="1:5" x14ac:dyDescent="0.3">
      <c r="A1060" s="1">
        <v>1059</v>
      </c>
      <c r="B1060" s="1">
        <v>0.1068539402</v>
      </c>
      <c r="C1060" s="1">
        <v>0.89790388580000002</v>
      </c>
      <c r="D1060" s="1">
        <v>0.38924836779999999</v>
      </c>
      <c r="E1060" s="1">
        <v>0.98446099190000003</v>
      </c>
    </row>
    <row r="1061" spans="1:5" x14ac:dyDescent="0.3">
      <c r="A1061" s="1">
        <v>1060</v>
      </c>
      <c r="B1061" s="1">
        <v>8.94542428E-2</v>
      </c>
      <c r="C1061" s="1">
        <v>0.89941311369999999</v>
      </c>
      <c r="D1061" s="1">
        <v>0.38990214359999997</v>
      </c>
      <c r="E1061" s="1">
        <v>0.98436258170000002</v>
      </c>
    </row>
    <row r="1062" spans="1:5" x14ac:dyDescent="0.3">
      <c r="A1062" s="1">
        <v>1061</v>
      </c>
      <c r="B1062" s="1">
        <v>7.2026772599999997E-2</v>
      </c>
      <c r="C1062" s="1">
        <v>0.90064324579999999</v>
      </c>
      <c r="D1062" s="1">
        <v>0.39043492930000001</v>
      </c>
      <c r="E1062" s="1">
        <v>0.98426904159999995</v>
      </c>
    </row>
    <row r="1063" spans="1:5" x14ac:dyDescent="0.3">
      <c r="A1063" s="1">
        <v>1062</v>
      </c>
      <c r="B1063" s="1">
        <v>5.4576931000000002E-2</v>
      </c>
      <c r="C1063" s="1">
        <v>0.90159381989999998</v>
      </c>
      <c r="D1063" s="1">
        <v>0.39084652479999998</v>
      </c>
      <c r="E1063" s="1">
        <v>0.9841804019</v>
      </c>
    </row>
    <row r="1064" spans="1:5" x14ac:dyDescent="0.3">
      <c r="A1064" s="1">
        <v>1063</v>
      </c>
      <c r="B1064" s="1">
        <v>3.71101296E-2</v>
      </c>
      <c r="C1064" s="1">
        <v>0.90226446469999999</v>
      </c>
      <c r="D1064" s="1">
        <v>0.3911367691</v>
      </c>
      <c r="E1064" s="1">
        <v>0.98409669150000001</v>
      </c>
    </row>
    <row r="1065" spans="1:5" x14ac:dyDescent="0.3">
      <c r="A1065" s="1">
        <v>1064</v>
      </c>
      <c r="B1065" s="1">
        <v>1.9631788300000001E-2</v>
      </c>
      <c r="C1065" s="1">
        <v>0.90265489980000002</v>
      </c>
      <c r="D1065" s="1">
        <v>0.39130554099999998</v>
      </c>
      <c r="E1065" s="1">
        <v>0.98401793770000001</v>
      </c>
    </row>
    <row r="1066" spans="1:5" x14ac:dyDescent="0.3">
      <c r="A1066" s="1">
        <v>1065</v>
      </c>
      <c r="B1066" s="1">
        <v>2.1473337000000002E-3</v>
      </c>
      <c r="C1066" s="1">
        <v>0.90276493599999996</v>
      </c>
      <c r="D1066" s="1">
        <v>0.39135275850000001</v>
      </c>
      <c r="E1066" s="1">
        <v>0.98394416620000003</v>
      </c>
    </row>
    <row r="1067" spans="1:5" x14ac:dyDescent="0.3">
      <c r="A1067" s="1">
        <v>1066</v>
      </c>
      <c r="B1067" s="1">
        <v>-1.53378032E-2</v>
      </c>
      <c r="C1067" s="1">
        <v>0.90259447510000002</v>
      </c>
      <c r="D1067" s="1">
        <v>0.39127837920000003</v>
      </c>
      <c r="E1067" s="1">
        <v>0.98387540100000004</v>
      </c>
    </row>
    <row r="1068" spans="1:5" x14ac:dyDescent="0.3">
      <c r="A1068" s="1">
        <v>1067</v>
      </c>
      <c r="B1068" s="1">
        <v>-3.2818188900000003E-2</v>
      </c>
      <c r="C1068" s="1">
        <v>0.90214351079999999</v>
      </c>
      <c r="D1068" s="1">
        <v>0.39108240049999998</v>
      </c>
      <c r="E1068" s="1">
        <v>0.98381166470000003</v>
      </c>
    </row>
    <row r="1069" spans="1:5" x14ac:dyDescent="0.3">
      <c r="A1069" s="1">
        <v>1068</v>
      </c>
      <c r="B1069" s="1">
        <v>-5.0288388900000001E-2</v>
      </c>
      <c r="C1069" s="1">
        <v>0.90141212780000002</v>
      </c>
      <c r="D1069" s="1">
        <v>0.39076485929999999</v>
      </c>
      <c r="E1069" s="1">
        <v>0.98375297790000005</v>
      </c>
    </row>
    <row r="1070" spans="1:5" x14ac:dyDescent="0.3">
      <c r="A1070" s="1">
        <v>1069</v>
      </c>
      <c r="B1070" s="1">
        <v>-6.7742970299999997E-2</v>
      </c>
      <c r="C1070" s="1">
        <v>0.90040050260000004</v>
      </c>
      <c r="D1070" s="1">
        <v>0.39032583230000001</v>
      </c>
      <c r="E1070" s="1">
        <v>0.98369935980000001</v>
      </c>
    </row>
    <row r="1071" spans="1:5" x14ac:dyDescent="0.3">
      <c r="A1071" s="1">
        <v>1070</v>
      </c>
      <c r="B1071" s="1">
        <v>-8.5176503299999998E-2</v>
      </c>
      <c r="C1071" s="1">
        <v>0.89910890320000003</v>
      </c>
      <c r="D1071" s="1">
        <v>0.3897654358</v>
      </c>
      <c r="E1071" s="1">
        <v>0.98365082810000004</v>
      </c>
    </row>
    <row r="1072" spans="1:5" x14ac:dyDescent="0.3">
      <c r="A1072" s="1">
        <v>1071</v>
      </c>
      <c r="B1072" s="1">
        <v>-0.1025835631</v>
      </c>
      <c r="C1072" s="1">
        <v>0.89753768909999998</v>
      </c>
      <c r="D1072" s="1">
        <v>0.3890838258</v>
      </c>
      <c r="E1072" s="1">
        <v>0.9836073984</v>
      </c>
    </row>
    <row r="1073" spans="1:5" x14ac:dyDescent="0.3">
      <c r="A1073" s="1">
        <v>1072</v>
      </c>
      <c r="B1073" s="1">
        <v>-0.1199587322</v>
      </c>
      <c r="C1073" s="1">
        <v>0.89568731109999999</v>
      </c>
      <c r="D1073" s="1">
        <v>0.38828119789999999</v>
      </c>
      <c r="E1073" s="1">
        <v>0.98356908519999997</v>
      </c>
    </row>
    <row r="1074" spans="1:5" x14ac:dyDescent="0.3">
      <c r="A1074" s="1">
        <v>1073</v>
      </c>
      <c r="B1074" s="1">
        <v>-0.13729660199999999</v>
      </c>
      <c r="C1074" s="1">
        <v>0.89355831139999997</v>
      </c>
      <c r="D1074" s="1">
        <v>0.38735778720000003</v>
      </c>
      <c r="E1074" s="1">
        <v>0.98353590079999997</v>
      </c>
    </row>
    <row r="1075" spans="1:5" x14ac:dyDescent="0.3">
      <c r="A1075" s="1">
        <v>1074</v>
      </c>
      <c r="B1075" s="1">
        <v>-0.15459177499999999</v>
      </c>
      <c r="C1075" s="1">
        <v>0.89115132340000003</v>
      </c>
      <c r="D1075" s="1">
        <v>0.38631386849999999</v>
      </c>
      <c r="E1075" s="1">
        <v>0.98350785610000002</v>
      </c>
    </row>
    <row r="1076" spans="1:5" x14ac:dyDescent="0.3">
      <c r="A1076" s="1">
        <v>1075</v>
      </c>
      <c r="B1076" s="1">
        <v>-0.17183886649999999</v>
      </c>
      <c r="C1076" s="1">
        <v>0.88846707130000002</v>
      </c>
      <c r="D1076" s="1">
        <v>0.3851497559</v>
      </c>
      <c r="E1076" s="1">
        <v>0.9834849604</v>
      </c>
    </row>
    <row r="1077" spans="1:5" x14ac:dyDescent="0.3">
      <c r="A1077" s="1">
        <v>1076</v>
      </c>
      <c r="B1077" s="1">
        <v>-0.18903250669999999</v>
      </c>
      <c r="C1077" s="1">
        <v>0.8855063702</v>
      </c>
      <c r="D1077" s="1">
        <v>0.38386580279999999</v>
      </c>
      <c r="E1077" s="1">
        <v>0.98346722109999996</v>
      </c>
    </row>
    <row r="1078" spans="1:5" x14ac:dyDescent="0.3">
      <c r="A1078" s="1">
        <v>1077</v>
      </c>
      <c r="B1078" s="1">
        <v>-0.2061673426</v>
      </c>
      <c r="C1078" s="1">
        <v>0.88227012559999995</v>
      </c>
      <c r="D1078" s="1">
        <v>0.38246240209999999</v>
      </c>
      <c r="E1078" s="1">
        <v>0.98345464400000004</v>
      </c>
    </row>
    <row r="1079" spans="1:5" x14ac:dyDescent="0.3">
      <c r="A1079" s="1">
        <v>1078</v>
      </c>
      <c r="B1079" s="1">
        <v>-0.22323803980000001</v>
      </c>
      <c r="C1079" s="1">
        <v>0.87875933319999999</v>
      </c>
      <c r="D1079" s="1">
        <v>0.38093998540000001</v>
      </c>
      <c r="E1079" s="1">
        <v>0.98344723320000005</v>
      </c>
    </row>
    <row r="1080" spans="1:5" x14ac:dyDescent="0.3">
      <c r="A1080" s="1">
        <v>1079</v>
      </c>
      <c r="B1080" s="1">
        <v>-0.24023928459999999</v>
      </c>
      <c r="C1080" s="1">
        <v>0.87497507839999999</v>
      </c>
      <c r="D1080" s="1">
        <v>0.37929902339999999</v>
      </c>
      <c r="E1080" s="1">
        <v>0.98344499129999996</v>
      </c>
    </row>
    <row r="1081" spans="1:5" x14ac:dyDescent="0.3">
      <c r="A1081" s="1">
        <v>1080</v>
      </c>
      <c r="B1081" s="1">
        <v>-0.25716578579999999</v>
      </c>
      <c r="C1081" s="1">
        <v>0.87091853620000004</v>
      </c>
      <c r="D1081" s="1">
        <v>0.3775400256</v>
      </c>
      <c r="E1081" s="1">
        <v>0.98344791880000004</v>
      </c>
    </row>
    <row r="1082" spans="1:5" x14ac:dyDescent="0.3">
      <c r="A1082" s="1">
        <v>1081</v>
      </c>
      <c r="B1082" s="1">
        <v>-0.27401227659999999</v>
      </c>
      <c r="C1082" s="1">
        <v>0.8665909705</v>
      </c>
      <c r="D1082" s="1">
        <v>0.37566354019999998</v>
      </c>
      <c r="E1082" s="1">
        <v>0.98345601500000002</v>
      </c>
    </row>
    <row r="1083" spans="1:5" x14ac:dyDescent="0.3">
      <c r="A1083" s="1">
        <v>1082</v>
      </c>
      <c r="B1083" s="1">
        <v>-0.2907735166</v>
      </c>
      <c r="C1083" s="1">
        <v>0.8619937339</v>
      </c>
      <c r="D1083" s="1">
        <v>0.3736701536</v>
      </c>
      <c r="E1083" s="1">
        <v>0.98346927709999998</v>
      </c>
    </row>
    <row r="1084" spans="1:5" x14ac:dyDescent="0.3">
      <c r="A1084" s="1">
        <v>1083</v>
      </c>
      <c r="B1084" s="1">
        <v>-0.30744429340000001</v>
      </c>
      <c r="C1084" s="1">
        <v>0.85712826689999999</v>
      </c>
      <c r="D1084" s="1">
        <v>0.37156049029999999</v>
      </c>
      <c r="E1084" s="1">
        <v>0.98348770080000003</v>
      </c>
    </row>
    <row r="1085" spans="1:5" x14ac:dyDescent="0.3">
      <c r="A1085" s="1">
        <v>1084</v>
      </c>
      <c r="B1085" s="1">
        <v>-0.32401942480000001</v>
      </c>
      <c r="C1085" s="1">
        <v>0.85199609779999996</v>
      </c>
      <c r="D1085" s="1">
        <v>0.36933521320000001</v>
      </c>
      <c r="E1085" s="1">
        <v>0.9835112801</v>
      </c>
    </row>
    <row r="1086" spans="1:5" x14ac:dyDescent="0.3">
      <c r="A1086" s="1">
        <v>1085</v>
      </c>
      <c r="B1086" s="1">
        <v>-0.34049376040000001</v>
      </c>
      <c r="C1086" s="1">
        <v>0.84659884159999998</v>
      </c>
      <c r="D1086" s="1">
        <v>0.36699502229999997</v>
      </c>
      <c r="E1086" s="1">
        <v>0.98354000730000002</v>
      </c>
    </row>
    <row r="1087" spans="1:5" x14ac:dyDescent="0.3">
      <c r="A1087" s="1">
        <v>1086</v>
      </c>
      <c r="B1087" s="1">
        <v>-0.35686218359999999</v>
      </c>
      <c r="C1087" s="1">
        <v>0.84093819979999995</v>
      </c>
      <c r="D1087" s="1">
        <v>0.36454065559999999</v>
      </c>
      <c r="E1087" s="1">
        <v>0.98357387299999999</v>
      </c>
    </row>
    <row r="1088" spans="1:5" x14ac:dyDescent="0.3">
      <c r="A1088" s="1">
        <v>1087</v>
      </c>
      <c r="B1088" s="1">
        <v>-0.37311961319999998</v>
      </c>
      <c r="C1088" s="1">
        <v>0.83501595979999998</v>
      </c>
      <c r="D1088" s="1">
        <v>0.36197288789999998</v>
      </c>
      <c r="E1088" s="1">
        <v>0.98361286619999999</v>
      </c>
    </row>
    <row r="1089" spans="1:5" x14ac:dyDescent="0.3">
      <c r="A1089" s="1">
        <v>1088</v>
      </c>
      <c r="B1089" s="1">
        <v>-0.3892610057</v>
      </c>
      <c r="C1089" s="1">
        <v>0.8288339938</v>
      </c>
      <c r="D1089" s="1">
        <v>0.35929253100000003</v>
      </c>
      <c r="E1089" s="1">
        <v>0.98365697409999997</v>
      </c>
    </row>
    <row r="1090" spans="1:5" x14ac:dyDescent="0.3">
      <c r="A1090" s="1">
        <v>1089</v>
      </c>
      <c r="B1090" s="1">
        <v>-0.4052813562</v>
      </c>
      <c r="C1090" s="1">
        <v>0.82239425850000003</v>
      </c>
      <c r="D1090" s="1">
        <v>0.35650043329999997</v>
      </c>
      <c r="E1090" s="1">
        <v>0.98370618229999995</v>
      </c>
    </row>
    <row r="1091" spans="1:5" x14ac:dyDescent="0.3">
      <c r="A1091" s="1">
        <v>1090</v>
      </c>
      <c r="B1091" s="1">
        <v>-0.42117570129999998</v>
      </c>
      <c r="C1091" s="1">
        <v>0.81569879420000002</v>
      </c>
      <c r="D1091" s="1">
        <v>0.35359747940000003</v>
      </c>
      <c r="E1091" s="1">
        <v>0.98376047470000005</v>
      </c>
    </row>
    <row r="1092" spans="1:5" x14ac:dyDescent="0.3">
      <c r="A1092" s="1">
        <v>1091</v>
      </c>
      <c r="B1092" s="1">
        <v>-0.43693911990000001</v>
      </c>
      <c r="C1092" s="1">
        <v>0.808749724</v>
      </c>
      <c r="D1092" s="1">
        <v>0.35058458980000001</v>
      </c>
      <c r="E1092" s="1">
        <v>0.98381983380000004</v>
      </c>
    </row>
    <row r="1093" spans="1:5" x14ac:dyDescent="0.3">
      <c r="A1093" s="1">
        <v>1092</v>
      </c>
      <c r="B1093" s="1">
        <v>-0.45256673539999998</v>
      </c>
      <c r="C1093" s="1">
        <v>0.80154925320000003</v>
      </c>
      <c r="D1093" s="1">
        <v>0.34746272070000001</v>
      </c>
      <c r="E1093" s="1">
        <v>0.98388423989999996</v>
      </c>
    </row>
    <row r="1094" spans="1:5" x14ac:dyDescent="0.3">
      <c r="A1094" s="1">
        <v>1093</v>
      </c>
      <c r="B1094" s="1">
        <v>-0.4680537172</v>
      </c>
      <c r="C1094" s="1">
        <v>0.79409966809999999</v>
      </c>
      <c r="D1094" s="1">
        <v>0.34423286330000002</v>
      </c>
      <c r="E1094" s="1">
        <v>0.98395367229999997</v>
      </c>
    </row>
    <row r="1095" spans="1:5" x14ac:dyDescent="0.3">
      <c r="A1095" s="1">
        <v>1094</v>
      </c>
      <c r="B1095" s="1">
        <v>-0.48339528269999998</v>
      </c>
      <c r="C1095" s="1">
        <v>0.78640333529999995</v>
      </c>
      <c r="D1095" s="1">
        <v>0.34089604359999998</v>
      </c>
      <c r="E1095" s="1">
        <v>0.98402810809999997</v>
      </c>
    </row>
    <row r="1096" spans="1:5" x14ac:dyDescent="0.3">
      <c r="A1096" s="1">
        <v>1095</v>
      </c>
      <c r="B1096" s="1">
        <v>-0.49858669859999999</v>
      </c>
      <c r="C1096" s="1">
        <v>0.77846270090000003</v>
      </c>
      <c r="D1096" s="1">
        <v>0.33745332230000002</v>
      </c>
      <c r="E1096" s="1">
        <v>0.98410752329999995</v>
      </c>
    </row>
    <row r="1097" spans="1:5" x14ac:dyDescent="0.3">
      <c r="A1097" s="1">
        <v>1096</v>
      </c>
      <c r="B1097" s="1">
        <v>-0.51362328280000003</v>
      </c>
      <c r="C1097" s="1">
        <v>0.77028028930000003</v>
      </c>
      <c r="D1097" s="1">
        <v>0.33390579380000002</v>
      </c>
      <c r="E1097" s="1">
        <v>0.9841918918</v>
      </c>
    </row>
    <row r="1098" spans="1:5" x14ac:dyDescent="0.3">
      <c r="A1098" s="1">
        <v>1097</v>
      </c>
      <c r="B1098" s="1">
        <v>-0.52850040580000002</v>
      </c>
      <c r="C1098" s="1">
        <v>0.7618587027</v>
      </c>
      <c r="D1098" s="1">
        <v>0.33025458610000002</v>
      </c>
      <c r="E1098" s="1">
        <v>0.98428118620000005</v>
      </c>
    </row>
    <row r="1099" spans="1:5" x14ac:dyDescent="0.3">
      <c r="A1099" s="1">
        <v>1098</v>
      </c>
      <c r="B1099" s="1">
        <v>-0.54321349269999997</v>
      </c>
      <c r="C1099" s="1">
        <v>0.75320061949999995</v>
      </c>
      <c r="D1099" s="1">
        <v>0.32650086070000001</v>
      </c>
      <c r="E1099" s="1">
        <v>0.98437537750000004</v>
      </c>
    </row>
    <row r="1100" spans="1:5" x14ac:dyDescent="0.3">
      <c r="A1100" s="1">
        <v>1099</v>
      </c>
      <c r="B1100" s="1">
        <v>-0.55775802409999997</v>
      </c>
      <c r="C1100" s="1">
        <v>0.74430879360000002</v>
      </c>
      <c r="D1100" s="1">
        <v>0.32264581139999998</v>
      </c>
      <c r="E1100" s="1">
        <v>0.98447443509999999</v>
      </c>
    </row>
    <row r="1101" spans="1:5" x14ac:dyDescent="0.3">
      <c r="A1101" s="1">
        <v>1100</v>
      </c>
      <c r="B1101" s="1">
        <v>-0.57212953820000001</v>
      </c>
      <c r="C1101" s="1">
        <v>0.73518605329999998</v>
      </c>
      <c r="D1101" s="1">
        <v>0.3186906645</v>
      </c>
      <c r="E1101" s="1">
        <v>0.9845783266</v>
      </c>
    </row>
    <row r="1102" spans="1:5" x14ac:dyDescent="0.3">
      <c r="A1102" s="1">
        <v>1101</v>
      </c>
      <c r="B1102" s="1">
        <v>-0.58632363239999996</v>
      </c>
      <c r="C1102" s="1">
        <v>0.72583530029999999</v>
      </c>
      <c r="D1102" s="1">
        <v>0.31463667789999999</v>
      </c>
      <c r="E1102" s="1">
        <v>0.98468701839999995</v>
      </c>
    </row>
    <row r="1103" spans="1:5" x14ac:dyDescent="0.3">
      <c r="A1103" s="1">
        <v>1102</v>
      </c>
      <c r="B1103" s="1">
        <v>-0.60033596410000001</v>
      </c>
      <c r="C1103" s="1">
        <v>0.71625950829999996</v>
      </c>
      <c r="D1103" s="1">
        <v>0.31048514100000002</v>
      </c>
      <c r="E1103" s="1">
        <v>0.98480047520000003</v>
      </c>
    </row>
    <row r="1104" spans="1:5" x14ac:dyDescent="0.3">
      <c r="A1104" s="1">
        <v>1103</v>
      </c>
      <c r="B1104" s="1">
        <v>-0.61416225290000004</v>
      </c>
      <c r="C1104" s="1">
        <v>0.70646172220000003</v>
      </c>
      <c r="D1104" s="1">
        <v>0.30623737369999998</v>
      </c>
      <c r="E1104" s="1">
        <v>0.98491866009999995</v>
      </c>
    </row>
    <row r="1105" spans="1:5" x14ac:dyDescent="0.3">
      <c r="A1105" s="1">
        <v>1104</v>
      </c>
      <c r="B1105" s="1">
        <v>-0.62779828159999995</v>
      </c>
      <c r="C1105" s="1">
        <v>0.69644505670000001</v>
      </c>
      <c r="D1105" s="1">
        <v>0.30189472649999999</v>
      </c>
      <c r="E1105" s="1">
        <v>0.98504153480000001</v>
      </c>
    </row>
    <row r="1106" spans="1:5" x14ac:dyDescent="0.3">
      <c r="A1106" s="1">
        <v>1105</v>
      </c>
      <c r="B1106" s="1">
        <v>-0.64123989780000001</v>
      </c>
      <c r="C1106" s="1">
        <v>0.68621269510000005</v>
      </c>
      <c r="D1106" s="1">
        <v>0.29745857939999998</v>
      </c>
      <c r="E1106" s="1">
        <v>0.9851690595</v>
      </c>
    </row>
    <row r="1107" spans="1:5" x14ac:dyDescent="0.3">
      <c r="A1107" s="1">
        <v>1106</v>
      </c>
      <c r="B1107" s="1">
        <v>-0.65448301499999995</v>
      </c>
      <c r="C1107" s="1">
        <v>0.67576788830000001</v>
      </c>
      <c r="D1107" s="1">
        <v>0.29293034179999999</v>
      </c>
      <c r="E1107" s="1">
        <v>0.98530119299999996</v>
      </c>
    </row>
    <row r="1108" spans="1:5" x14ac:dyDescent="0.3">
      <c r="A1108" s="1">
        <v>1107</v>
      </c>
      <c r="B1108" s="1">
        <v>-0.66752361449999997</v>
      </c>
      <c r="C1108" s="1">
        <v>0.66511395309999999</v>
      </c>
      <c r="D1108" s="1">
        <v>0.28831145180000001</v>
      </c>
      <c r="E1108" s="1">
        <v>0.98543789240000002</v>
      </c>
    </row>
    <row r="1109" spans="1:5" x14ac:dyDescent="0.3">
      <c r="A1109" s="1">
        <v>1108</v>
      </c>
      <c r="B1109" s="1">
        <v>-0.68035774609999999</v>
      </c>
      <c r="C1109" s="1">
        <v>0.65425427160000005</v>
      </c>
      <c r="D1109" s="1">
        <v>0.28360337549999998</v>
      </c>
      <c r="E1109" s="1">
        <v>0.98557911359999995</v>
      </c>
    </row>
    <row r="1110" spans="1:5" x14ac:dyDescent="0.3">
      <c r="A1110" s="1">
        <v>1109</v>
      </c>
      <c r="B1110" s="1">
        <v>-0.69298152950000003</v>
      </c>
      <c r="C1110" s="1">
        <v>0.64319228939999995</v>
      </c>
      <c r="D1110" s="1">
        <v>0.27880760669999999</v>
      </c>
      <c r="E1110" s="1">
        <v>0.98572481099999998</v>
      </c>
    </row>
    <row r="1111" spans="1:5" x14ac:dyDescent="0.3">
      <c r="A1111" s="1">
        <v>1110</v>
      </c>
      <c r="B1111" s="1">
        <v>-0.70539115600000002</v>
      </c>
      <c r="C1111" s="1">
        <v>0.63193151420000004</v>
      </c>
      <c r="D1111" s="1">
        <v>0.27392566629999998</v>
      </c>
      <c r="E1111" s="1">
        <v>0.98587493739999998</v>
      </c>
    </row>
    <row r="1112" spans="1:5" x14ac:dyDescent="0.3">
      <c r="A1112" s="1">
        <v>1111</v>
      </c>
      <c r="B1112" s="1">
        <v>-0.71758288910000001</v>
      </c>
      <c r="C1112" s="1">
        <v>0.62047551499999998</v>
      </c>
      <c r="D1112" s="1">
        <v>0.2689591013</v>
      </c>
      <c r="E1112" s="1">
        <v>0.98602944459999997</v>
      </c>
    </row>
    <row r="1113" spans="1:5" x14ac:dyDescent="0.3">
      <c r="A1113" s="1">
        <v>1112</v>
      </c>
      <c r="B1113" s="1">
        <v>-0.72955306610000004</v>
      </c>
      <c r="C1113" s="1">
        <v>0.60882792019999998</v>
      </c>
      <c r="D1113" s="1">
        <v>0.26390948489999999</v>
      </c>
      <c r="E1113" s="1">
        <v>0.98618828270000003</v>
      </c>
    </row>
    <row r="1114" spans="1:5" x14ac:dyDescent="0.3">
      <c r="A1114" s="1">
        <v>1113</v>
      </c>
      <c r="B1114" s="1">
        <v>-0.7412980991</v>
      </c>
      <c r="C1114" s="1">
        <v>0.59699241660000002</v>
      </c>
      <c r="D1114" s="1">
        <v>0.25877841540000002</v>
      </c>
      <c r="E1114" s="1">
        <v>0.98635140060000004</v>
      </c>
    </row>
    <row r="1115" spans="1:5" x14ac:dyDescent="0.3">
      <c r="A1115" s="1">
        <v>1114</v>
      </c>
      <c r="B1115" s="1">
        <v>-0.75281447599999995</v>
      </c>
      <c r="C1115" s="1">
        <v>0.58497274769999996</v>
      </c>
      <c r="D1115" s="1">
        <v>0.25356751579999998</v>
      </c>
      <c r="E1115" s="1">
        <v>0.98651874589999999</v>
      </c>
    </row>
    <row r="1116" spans="1:5" x14ac:dyDescent="0.3">
      <c r="A1116" s="1">
        <v>1115</v>
      </c>
      <c r="B1116" s="1">
        <v>-0.76409876180000003</v>
      </c>
      <c r="C1116" s="1">
        <v>0.57277271269999996</v>
      </c>
      <c r="D1116" s="1">
        <v>0.24827843299999999</v>
      </c>
      <c r="E1116" s="1">
        <v>0.98669026479999999</v>
      </c>
    </row>
    <row r="1117" spans="1:5" x14ac:dyDescent="0.3">
      <c r="A1117" s="1">
        <v>1116</v>
      </c>
      <c r="B1117" s="1">
        <v>-0.77514759950000001</v>
      </c>
      <c r="C1117" s="1">
        <v>0.56039616449999996</v>
      </c>
      <c r="D1117" s="1">
        <v>0.24291283750000001</v>
      </c>
      <c r="E1117" s="1">
        <v>0.98686590220000003</v>
      </c>
    </row>
    <row r="1118" spans="1:5" x14ac:dyDescent="0.3">
      <c r="A1118" s="1">
        <v>1117</v>
      </c>
      <c r="B1118" s="1">
        <v>-0.78595771110000001</v>
      </c>
      <c r="C1118" s="1">
        <v>0.54784700880000003</v>
      </c>
      <c r="D1118" s="1">
        <v>0.2374724225</v>
      </c>
      <c r="E1118" s="1">
        <v>0.98704560180000001</v>
      </c>
    </row>
    <row r="1119" spans="1:5" x14ac:dyDescent="0.3">
      <c r="A1119" s="1">
        <v>1118</v>
      </c>
      <c r="B1119" s="1">
        <v>-0.7965258986</v>
      </c>
      <c r="C1119" s="1">
        <v>0.53512920220000004</v>
      </c>
      <c r="D1119" s="1">
        <v>0.23195890320000001</v>
      </c>
      <c r="E1119" s="1">
        <v>0.98722930610000004</v>
      </c>
    </row>
    <row r="1120" spans="1:5" x14ac:dyDescent="0.3">
      <c r="A1120" s="1">
        <v>1119</v>
      </c>
      <c r="B1120" s="1">
        <v>-0.80684904489999998</v>
      </c>
      <c r="C1120" s="1">
        <v>0.52224675119999997</v>
      </c>
      <c r="D1120" s="1">
        <v>0.22637401660000001</v>
      </c>
      <c r="E1120" s="1">
        <v>0.98741695640000005</v>
      </c>
    </row>
    <row r="1121" spans="1:5" x14ac:dyDescent="0.3">
      <c r="A1121" s="1">
        <v>1120</v>
      </c>
      <c r="B1121" s="1">
        <v>-0.81692411490000005</v>
      </c>
      <c r="C1121" s="1">
        <v>0.5092037103</v>
      </c>
      <c r="D1121" s="1">
        <v>0.22071952040000001</v>
      </c>
      <c r="E1121" s="1">
        <v>0.98760849260000005</v>
      </c>
    </row>
    <row r="1122" spans="1:5" x14ac:dyDescent="0.3">
      <c r="A1122" s="1">
        <v>1121</v>
      </c>
      <c r="B1122" s="1">
        <v>-0.82674815599999996</v>
      </c>
      <c r="C1122" s="1">
        <v>0.4960041805</v>
      </c>
      <c r="D1122" s="1">
        <v>0.21499719249999999</v>
      </c>
      <c r="E1122" s="1">
        <v>0.98780385370000001</v>
      </c>
    </row>
    <row r="1123" spans="1:5" x14ac:dyDescent="0.3">
      <c r="A1123" s="1">
        <v>1122</v>
      </c>
      <c r="B1123" s="1">
        <v>-0.83631829930000001</v>
      </c>
      <c r="C1123" s="1">
        <v>0.48265230809999998</v>
      </c>
      <c r="D1123" s="1">
        <v>0.2092088305</v>
      </c>
      <c r="E1123" s="1">
        <v>0.98800297719999997</v>
      </c>
    </row>
    <row r="1124" spans="1:5" x14ac:dyDescent="0.3">
      <c r="A1124" s="1">
        <v>1123</v>
      </c>
      <c r="B1124" s="1">
        <v>-0.84563176009999996</v>
      </c>
      <c r="C1124" s="1">
        <v>0.469152283</v>
      </c>
      <c r="D1124" s="1">
        <v>0.20335625060000001</v>
      </c>
      <c r="E1124" s="1">
        <v>0.98820579990000001</v>
      </c>
    </row>
    <row r="1125" spans="1:5" x14ac:dyDescent="0.3">
      <c r="A1125" s="1">
        <v>1124</v>
      </c>
      <c r="B1125" s="1">
        <v>-0.85468583880000004</v>
      </c>
      <c r="C1125" s="1">
        <v>0.45550833709999999</v>
      </c>
      <c r="D1125" s="1">
        <v>0.19744128759999999</v>
      </c>
      <c r="E1125" s="1">
        <v>0.98841225720000003</v>
      </c>
    </row>
    <row r="1126" spans="1:5" x14ac:dyDescent="0.3">
      <c r="A1126" s="1">
        <v>1125</v>
      </c>
      <c r="B1126" s="1">
        <v>-0.86347792150000002</v>
      </c>
      <c r="C1126" s="1">
        <v>0.44172474290000002</v>
      </c>
      <c r="D1126" s="1">
        <v>0.1914657937</v>
      </c>
      <c r="E1126" s="1">
        <v>0.98862228350000003</v>
      </c>
    </row>
    <row r="1127" spans="1:5" x14ac:dyDescent="0.3">
      <c r="A1127" s="1">
        <v>1126</v>
      </c>
      <c r="B1127" s="1">
        <v>-0.87200548099999997</v>
      </c>
      <c r="C1127" s="1">
        <v>0.42780581159999997</v>
      </c>
      <c r="D1127" s="1">
        <v>0.1854316379</v>
      </c>
      <c r="E1127" s="1">
        <v>0.98883581229999995</v>
      </c>
    </row>
    <row r="1128" spans="1:5" x14ac:dyDescent="0.3">
      <c r="A1128" s="1">
        <v>1127</v>
      </c>
      <c r="B1128" s="1">
        <v>-0.88026607690000003</v>
      </c>
      <c r="C1128" s="1">
        <v>0.41375589219999998</v>
      </c>
      <c r="D1128" s="1">
        <v>0.1793407055</v>
      </c>
      <c r="E1128" s="1">
        <v>0.98905277570000005</v>
      </c>
    </row>
    <row r="1129" spans="1:5" x14ac:dyDescent="0.3">
      <c r="A1129" s="1">
        <v>1128</v>
      </c>
      <c r="B1129" s="1">
        <v>-0.88825735679999995</v>
      </c>
      <c r="C1129" s="1">
        <v>0.39957936919999998</v>
      </c>
      <c r="D1129" s="1">
        <v>0.17319489730000001</v>
      </c>
      <c r="E1129" s="1">
        <v>0.9892731052</v>
      </c>
    </row>
    <row r="1130" spans="1:5" x14ac:dyDescent="0.3">
      <c r="A1130" s="1">
        <v>1129</v>
      </c>
      <c r="B1130" s="1">
        <v>-0.89597705640000003</v>
      </c>
      <c r="C1130" s="1">
        <v>0.38528066160000002</v>
      </c>
      <c r="D1130" s="1">
        <v>0.1669961291</v>
      </c>
      <c r="E1130" s="1">
        <v>0.98949673120000003</v>
      </c>
    </row>
    <row r="1131" spans="1:5" x14ac:dyDescent="0.3">
      <c r="A1131" s="1">
        <v>1130</v>
      </c>
      <c r="B1131" s="1">
        <v>-0.90342300040000001</v>
      </c>
      <c r="C1131" s="1">
        <v>0.37086422079999998</v>
      </c>
      <c r="D1131" s="1">
        <v>0.16074633059999999</v>
      </c>
      <c r="E1131" s="1">
        <v>0.98972358289999995</v>
      </c>
    </row>
    <row r="1132" spans="1:5" x14ac:dyDescent="0.3">
      <c r="A1132" s="1">
        <v>1131</v>
      </c>
      <c r="B1132" s="1">
        <v>-0.91059310250000003</v>
      </c>
      <c r="C1132" s="1">
        <v>0.3563345295</v>
      </c>
      <c r="D1132" s="1">
        <v>0.1544474451</v>
      </c>
      <c r="E1132" s="1">
        <v>0.98995358909999998</v>
      </c>
    </row>
    <row r="1133" spans="1:5" x14ac:dyDescent="0.3">
      <c r="A1133" s="1">
        <v>1132</v>
      </c>
      <c r="B1133" s="1">
        <v>-0.9174853664</v>
      </c>
      <c r="C1133" s="1">
        <v>0.34169609989999999</v>
      </c>
      <c r="D1133" s="1">
        <v>0.14810142870000001</v>
      </c>
      <c r="E1133" s="1">
        <v>0.99018667709999997</v>
      </c>
    </row>
    <row r="1134" spans="1:5" x14ac:dyDescent="0.3">
      <c r="A1134" s="1">
        <v>1133</v>
      </c>
      <c r="B1134" s="1">
        <v>-0.9240978862</v>
      </c>
      <c r="C1134" s="1">
        <v>0.32695347200000002</v>
      </c>
      <c r="D1134" s="1">
        <v>0.1417102496</v>
      </c>
      <c r="E1134" s="1">
        <v>0.99042277379999999</v>
      </c>
    </row>
    <row r="1135" spans="1:5" x14ac:dyDescent="0.3">
      <c r="A1135" s="1">
        <v>1134</v>
      </c>
      <c r="B1135" s="1">
        <v>-0.93042884609999998</v>
      </c>
      <c r="C1135" s="1">
        <v>0.31211121209999998</v>
      </c>
      <c r="D1135" s="1">
        <v>0.13527588739999999</v>
      </c>
      <c r="E1135" s="1">
        <v>0.99066180510000001</v>
      </c>
    </row>
    <row r="1136" spans="1:5" x14ac:dyDescent="0.3">
      <c r="A1136" s="1">
        <v>1135</v>
      </c>
      <c r="B1136" s="1">
        <v>-0.93647652159999994</v>
      </c>
      <c r="C1136" s="1">
        <v>0.29717391139999999</v>
      </c>
      <c r="D1136" s="1">
        <v>0.12880033239999999</v>
      </c>
      <c r="E1136" s="1">
        <v>0.99090369599999994</v>
      </c>
    </row>
    <row r="1137" spans="1:5" x14ac:dyDescent="0.3">
      <c r="A1137" s="1">
        <v>1136</v>
      </c>
      <c r="B1137" s="1">
        <v>-0.94223927939999996</v>
      </c>
      <c r="C1137" s="1">
        <v>0.28214618390000001</v>
      </c>
      <c r="D1137" s="1">
        <v>0.12228558489999999</v>
      </c>
      <c r="E1137" s="1">
        <v>0.99114837079999996</v>
      </c>
    </row>
    <row r="1138" spans="1:5" x14ac:dyDescent="0.3">
      <c r="A1138" s="1">
        <v>1137</v>
      </c>
      <c r="B1138" s="1">
        <v>-0.94771557760000003</v>
      </c>
      <c r="C1138" s="1">
        <v>0.26703266549999999</v>
      </c>
      <c r="D1138" s="1">
        <v>0.1157336545</v>
      </c>
      <c r="E1138" s="1">
        <v>0.99139575310000005</v>
      </c>
    </row>
    <row r="1139" spans="1:5" x14ac:dyDescent="0.3">
      <c r="A1139" s="1">
        <v>1138</v>
      </c>
      <c r="B1139" s="1">
        <v>-0.95290396619999995</v>
      </c>
      <c r="C1139" s="1">
        <v>0.25183801160000002</v>
      </c>
      <c r="D1139" s="1">
        <v>0.1091465595</v>
      </c>
      <c r="E1139" s="1">
        <v>0.99164576550000005</v>
      </c>
    </row>
    <row r="1140" spans="1:5" x14ac:dyDescent="0.3">
      <c r="A1140" s="1">
        <v>1139</v>
      </c>
      <c r="B1140" s="1">
        <v>-0.95780308709999995</v>
      </c>
      <c r="C1140" s="1">
        <v>0.2365668964</v>
      </c>
      <c r="D1140" s="1">
        <v>0.1025263262</v>
      </c>
      <c r="E1140" s="1">
        <v>0.99189833039999997</v>
      </c>
    </row>
    <row r="1141" spans="1:5" x14ac:dyDescent="0.3">
      <c r="A1141" s="1">
        <v>1140</v>
      </c>
      <c r="B1141" s="1">
        <v>-0.96241167449999998</v>
      </c>
      <c r="C1141" s="1">
        <v>0.22122401050000001</v>
      </c>
      <c r="D1141" s="1">
        <v>9.5874987999999994E-2</v>
      </c>
      <c r="E1141" s="1">
        <v>0.99215336890000005</v>
      </c>
    </row>
    <row r="1142" spans="1:5" x14ac:dyDescent="0.3">
      <c r="A1142" s="1">
        <v>1141</v>
      </c>
      <c r="B1142" s="1">
        <v>-0.96672855479999997</v>
      </c>
      <c r="C1142" s="1">
        <v>0.2058140597</v>
      </c>
      <c r="D1142" s="1">
        <v>8.9194584899999999E-2</v>
      </c>
      <c r="E1142" s="1">
        <v>0.99241080199999998</v>
      </c>
    </row>
    <row r="1143" spans="1:5" x14ac:dyDescent="0.3">
      <c r="A1143" s="1">
        <v>1142</v>
      </c>
      <c r="B1143" s="1">
        <v>-0.97075264679999995</v>
      </c>
      <c r="C1143" s="1">
        <v>0.19034176350000001</v>
      </c>
      <c r="D1143" s="1">
        <v>8.2487162899999994E-2</v>
      </c>
      <c r="E1143" s="1">
        <v>0.99267054970000002</v>
      </c>
    </row>
    <row r="1144" spans="1:5" x14ac:dyDescent="0.3">
      <c r="A1144" s="1">
        <v>1143</v>
      </c>
      <c r="B1144" s="1">
        <v>-0.97448296170000004</v>
      </c>
      <c r="C1144" s="1">
        <v>0.17481185320000001</v>
      </c>
      <c r="D1144" s="1">
        <v>7.5754773100000006E-2</v>
      </c>
      <c r="E1144" s="1">
        <v>0.99293253150000005</v>
      </c>
    </row>
    <row r="1145" spans="1:5" x14ac:dyDescent="0.3">
      <c r="A1145" s="1">
        <v>1144</v>
      </c>
      <c r="B1145" s="1">
        <v>-0.97791860330000002</v>
      </c>
      <c r="C1145" s="1">
        <v>0.15922907059999999</v>
      </c>
      <c r="D1145" s="1">
        <v>6.8999471000000007E-2</v>
      </c>
      <c r="E1145" s="1">
        <v>0.99319666660000006</v>
      </c>
    </row>
    <row r="1146" spans="1:5" x14ac:dyDescent="0.3">
      <c r="A1146" s="1">
        <v>1145</v>
      </c>
      <c r="B1146" s="1">
        <v>-0.98105876800000003</v>
      </c>
      <c r="C1146" s="1">
        <v>0.1435981663</v>
      </c>
      <c r="D1146" s="1">
        <v>6.2223316200000003E-2</v>
      </c>
      <c r="E1146" s="1">
        <v>0.99346287330000005</v>
      </c>
    </row>
    <row r="1147" spans="1:5" x14ac:dyDescent="0.3">
      <c r="A1147" s="1">
        <v>1146</v>
      </c>
      <c r="B1147" s="1">
        <v>-0.98390274440000003</v>
      </c>
      <c r="C1147" s="1">
        <v>0.12792389830000001</v>
      </c>
      <c r="D1147" s="1">
        <v>5.5428371099999998E-2</v>
      </c>
      <c r="E1147" s="1">
        <v>0.99373106960000002</v>
      </c>
    </row>
    <row r="1148" spans="1:5" x14ac:dyDescent="0.3">
      <c r="A1148" s="1">
        <v>1147</v>
      </c>
      <c r="B1148" s="1">
        <v>-0.98644991390000003</v>
      </c>
      <c r="C1148" s="1">
        <v>0.11221103020000001</v>
      </c>
      <c r="D1148" s="1">
        <v>4.8616700999999998E-2</v>
      </c>
      <c r="E1148" s="1">
        <v>0.9940011728</v>
      </c>
    </row>
    <row r="1149" spans="1:5" x14ac:dyDescent="0.3">
      <c r="A1149" s="1">
        <v>1148</v>
      </c>
      <c r="B1149" s="1">
        <v>-0.98869974989999998</v>
      </c>
      <c r="C1149" s="1">
        <v>9.6464329599999996E-2</v>
      </c>
      <c r="D1149" s="1">
        <v>4.1790372499999999E-2</v>
      </c>
      <c r="E1149" s="1">
        <v>0.99427310010000003</v>
      </c>
    </row>
    <row r="1150" spans="1:5" x14ac:dyDescent="0.3">
      <c r="A1150" s="1">
        <v>1149</v>
      </c>
      <c r="B1150" s="1">
        <v>-0.99065181810000003</v>
      </c>
      <c r="C1150" s="1">
        <v>8.0688567099999997E-2</v>
      </c>
      <c r="D1150" s="1">
        <v>3.4951453799999997E-2</v>
      </c>
      <c r="E1150" s="1">
        <v>0.99454676799999997</v>
      </c>
    </row>
    <row r="1151" spans="1:5" x14ac:dyDescent="0.3">
      <c r="A1151" s="1">
        <v>1150</v>
      </c>
      <c r="B1151" s="1">
        <v>-0.99230577630000005</v>
      </c>
      <c r="C1151" s="1">
        <v>6.4888513999999994E-2</v>
      </c>
      <c r="D1151" s="1">
        <v>2.8102013299999999E-2</v>
      </c>
      <c r="E1151" s="1">
        <v>0.99482209269999999</v>
      </c>
    </row>
    <row r="1152" spans="1:5" x14ac:dyDescent="0.3">
      <c r="A1152" s="1">
        <v>1151</v>
      </c>
      <c r="B1152" s="1">
        <v>-0.99366137399999999</v>
      </c>
      <c r="C1152" s="1">
        <v>4.9068941300000002E-2</v>
      </c>
      <c r="D1152" s="1">
        <v>2.1244119200000001E-2</v>
      </c>
      <c r="E1152" s="1">
        <v>0.99509898990000001</v>
      </c>
    </row>
    <row r="1153" spans="1:5" x14ac:dyDescent="0.3">
      <c r="A1153" s="1">
        <v>1152</v>
      </c>
      <c r="B1153" s="1">
        <v>-0.99471845240000001</v>
      </c>
      <c r="C1153" s="1">
        <v>3.3234618200000003E-2</v>
      </c>
      <c r="D1153" s="1">
        <v>1.4379839E-2</v>
      </c>
      <c r="E1153" s="1">
        <v>0.99537737520000003</v>
      </c>
    </row>
    <row r="1154" spans="1:5" x14ac:dyDescent="0.3">
      <c r="A1154" s="1">
        <v>1153</v>
      </c>
      <c r="B1154" s="1">
        <v>-0.99547694409999998</v>
      </c>
      <c r="C1154" s="1">
        <v>1.73903103E-2</v>
      </c>
      <c r="D1154" s="1">
        <v>7.5112386000000001E-3</v>
      </c>
      <c r="E1154" s="1">
        <v>0.99565716380000002</v>
      </c>
    </row>
    <row r="1155" spans="1:5" x14ac:dyDescent="0.3">
      <c r="A1155" s="1">
        <v>1154</v>
      </c>
      <c r="B1155" s="1">
        <v>-0.99593687269999998</v>
      </c>
      <c r="C1155" s="1">
        <v>1.5407782000000001E-3</v>
      </c>
      <c r="D1155" s="1">
        <v>6.403817E-4</v>
      </c>
      <c r="E1155" s="1">
        <v>0.99593827040000005</v>
      </c>
    </row>
    <row r="1156" spans="1:5" x14ac:dyDescent="0.3">
      <c r="A1156" s="1">
        <v>1155</v>
      </c>
      <c r="B1156" s="1">
        <v>-0.99609835270000002</v>
      </c>
      <c r="C1156" s="1">
        <v>-1.4309223899999999E-2</v>
      </c>
      <c r="D1156" s="1">
        <v>-6.2306706E-3</v>
      </c>
      <c r="E1156" s="1">
        <v>0.99622060980000005</v>
      </c>
    </row>
    <row r="1157" spans="1:5" x14ac:dyDescent="0.3">
      <c r="A1157" s="1">
        <v>1156</v>
      </c>
      <c r="B1157" s="1">
        <v>-0.99596158879999996</v>
      </c>
      <c r="C1157" s="1">
        <v>-3.0154949600000001E-2</v>
      </c>
      <c r="D1157" s="1">
        <v>-1.30998609E-2</v>
      </c>
      <c r="E1157" s="1">
        <v>0.99650409620000002</v>
      </c>
    </row>
    <row r="1158" spans="1:5" x14ac:dyDescent="0.3">
      <c r="A1158" s="1">
        <v>1157</v>
      </c>
      <c r="B1158" s="1">
        <v>-0.99552687610000001</v>
      </c>
      <c r="C1158" s="1">
        <v>-4.5991662000000003E-2</v>
      </c>
      <c r="D1158" s="1">
        <v>-1.99651356E-2</v>
      </c>
      <c r="E1158" s="1">
        <v>0.996788644</v>
      </c>
    </row>
    <row r="1159" spans="1:5" x14ac:dyDescent="0.3">
      <c r="A1159" s="1">
        <v>1158</v>
      </c>
      <c r="B1159" s="1">
        <v>-0.99479459910000001</v>
      </c>
      <c r="C1159" s="1">
        <v>-6.1814634899999998E-2</v>
      </c>
      <c r="D1159" s="1">
        <v>-2.68244459E-2</v>
      </c>
      <c r="E1159" s="1">
        <v>0.99707416699999996</v>
      </c>
    </row>
    <row r="1160" spans="1:5" x14ac:dyDescent="0.3">
      <c r="A1160" s="1">
        <v>1159</v>
      </c>
      <c r="B1160" s="1">
        <v>-0.99376523169999997</v>
      </c>
      <c r="C1160" s="1">
        <v>-7.7619154400000001E-2</v>
      </c>
      <c r="D1160" s="1">
        <v>-3.3675748399999997E-2</v>
      </c>
      <c r="E1160" s="1">
        <v>0.99736057919999999</v>
      </c>
    </row>
    <row r="1161" spans="1:5" x14ac:dyDescent="0.3">
      <c r="A1161" s="1">
        <v>1160</v>
      </c>
      <c r="B1161" s="1">
        <v>-0.99243933640000004</v>
      </c>
      <c r="C1161" s="1">
        <v>-9.3400520200000003E-2</v>
      </c>
      <c r="D1161" s="1">
        <v>-4.0517005500000002E-2</v>
      </c>
      <c r="E1161" s="1">
        <v>0.99764779429999995</v>
      </c>
    </row>
    <row r="1162" spans="1:5" x14ac:dyDescent="0.3">
      <c r="A1162" s="1">
        <v>1161</v>
      </c>
      <c r="B1162" s="1">
        <v>-0.99081756430000001</v>
      </c>
      <c r="C1162" s="1">
        <v>-0.10915404720000001</v>
      </c>
      <c r="D1162" s="1">
        <v>-4.73461861E-2</v>
      </c>
      <c r="E1162" s="1">
        <v>0.99793572590000001</v>
      </c>
    </row>
    <row r="1163" spans="1:5" x14ac:dyDescent="0.3">
      <c r="A1163" s="1">
        <v>1162</v>
      </c>
      <c r="B1163" s="1">
        <v>-0.98890065400000005</v>
      </c>
      <c r="C1163" s="1">
        <v>-0.12487506650000001</v>
      </c>
      <c r="D1163" s="1">
        <v>-5.4161266299999997E-2</v>
      </c>
      <c r="E1163" s="1">
        <v>0.99822428760000004</v>
      </c>
    </row>
    <row r="1164" spans="1:5" x14ac:dyDescent="0.3">
      <c r="A1164" s="1">
        <v>1163</v>
      </c>
      <c r="B1164" s="1">
        <v>-0.9866894316</v>
      </c>
      <c r="C1164" s="1">
        <v>-0.14055892740000001</v>
      </c>
      <c r="D1164" s="1">
        <v>-6.0960229999999997E-2</v>
      </c>
      <c r="E1164" s="1">
        <v>0.99851339299999997</v>
      </c>
    </row>
    <row r="1165" spans="1:5" x14ac:dyDescent="0.3">
      <c r="A1165" s="1">
        <v>1164</v>
      </c>
      <c r="B1165" s="1">
        <v>-0.98418480990000001</v>
      </c>
      <c r="C1165" s="1">
        <v>-0.15620099800000001</v>
      </c>
      <c r="D1165" s="1">
        <v>-6.7741069400000006E-2</v>
      </c>
      <c r="E1165" s="1">
        <v>0.99880295569999999</v>
      </c>
    </row>
    <row r="1166" spans="1:5" x14ac:dyDescent="0.3">
      <c r="A1166" s="1">
        <v>1165</v>
      </c>
      <c r="B1166" s="1">
        <v>-0.98138778780000002</v>
      </c>
      <c r="C1166" s="1">
        <v>-0.17179666709999999</v>
      </c>
      <c r="D1166" s="1">
        <v>-7.4501785400000006E-2</v>
      </c>
      <c r="E1166" s="1">
        <v>0.99909288900000004</v>
      </c>
    </row>
    <row r="1167" spans="1:5" x14ac:dyDescent="0.3">
      <c r="A1167" s="1">
        <v>1166</v>
      </c>
      <c r="B1167" s="1">
        <v>-0.97829944980000005</v>
      </c>
      <c r="C1167" s="1">
        <v>-0.1873413454</v>
      </c>
      <c r="D1167" s="1">
        <v>-8.1240388600000005E-2</v>
      </c>
      <c r="E1167" s="1">
        <v>0.99938310669999997</v>
      </c>
    </row>
    <row r="1168" spans="1:5" x14ac:dyDescent="0.3">
      <c r="A1168" s="1">
        <v>1167</v>
      </c>
      <c r="B1168" s="1">
        <v>-0.97492096539999995</v>
      </c>
      <c r="C1168" s="1">
        <v>-0.2028304668</v>
      </c>
      <c r="D1168" s="1">
        <v>-8.7954899599999997E-2</v>
      </c>
      <c r="E1168" s="1">
        <v>0.99967352239999996</v>
      </c>
    </row>
    <row r="1169" spans="1:5" x14ac:dyDescent="0.3">
      <c r="A1169" s="1">
        <v>1168</v>
      </c>
      <c r="B1169" s="1">
        <v>-0.97125358809999995</v>
      </c>
      <c r="C1169" s="1">
        <v>-0.21825948949999999</v>
      </c>
      <c r="D1169" s="1">
        <v>-9.4643349500000001E-2</v>
      </c>
      <c r="E1169" s="1">
        <v>0.99996404969999997</v>
      </c>
    </row>
    <row r="1170" spans="1:5" x14ac:dyDescent="0.3">
      <c r="A1170" s="1">
        <v>1169</v>
      </c>
      <c r="B1170" s="1">
        <v>-0.96729865530000003</v>
      </c>
      <c r="C1170" s="1">
        <v>-0.23362389750000001</v>
      </c>
      <c r="D1170" s="1">
        <v>-0.1013037807</v>
      </c>
      <c r="E1170" s="1">
        <v>1.0002546026000001</v>
      </c>
    </row>
    <row r="1171" spans="1:5" x14ac:dyDescent="0.3">
      <c r="A1171" s="1">
        <v>1170</v>
      </c>
      <c r="B1171" s="1">
        <v>-0.96305758730000002</v>
      </c>
      <c r="C1171" s="1">
        <v>-0.24891920200000001</v>
      </c>
      <c r="D1171" s="1">
        <v>-0.1079342474</v>
      </c>
      <c r="E1171" s="1">
        <v>1.0005450950999999</v>
      </c>
    </row>
    <row r="1172" spans="1:5" x14ac:dyDescent="0.3">
      <c r="A1172" s="1">
        <v>1171</v>
      </c>
      <c r="B1172" s="1">
        <v>-0.95853188649999999</v>
      </c>
      <c r="C1172" s="1">
        <v>-0.26414094230000001</v>
      </c>
      <c r="D1172" s="1">
        <v>-0.1145328157</v>
      </c>
      <c r="E1172" s="1">
        <v>1.0008354413</v>
      </c>
    </row>
    <row r="1173" spans="1:5" x14ac:dyDescent="0.3">
      <c r="A1173" s="1">
        <v>1172</v>
      </c>
      <c r="B1173" s="1">
        <v>-0.95372313669999997</v>
      </c>
      <c r="C1173" s="1">
        <v>-0.27928468719999999</v>
      </c>
      <c r="D1173" s="1">
        <v>-0.1210975648</v>
      </c>
      <c r="E1173" s="1">
        <v>1.0011255556</v>
      </c>
    </row>
    <row r="1174" spans="1:5" x14ac:dyDescent="0.3">
      <c r="A1174" s="1">
        <v>1173</v>
      </c>
      <c r="B1174" s="1">
        <v>-0.94863300260000005</v>
      </c>
      <c r="C1174" s="1">
        <v>-0.29434603609999999</v>
      </c>
      <c r="D1174" s="1">
        <v>-0.1276265872</v>
      </c>
      <c r="E1174" s="1">
        <v>1.0014153526</v>
      </c>
    </row>
    <row r="1175" spans="1:5" x14ac:dyDescent="0.3">
      <c r="A1175" s="1">
        <v>1174</v>
      </c>
      <c r="B1175" s="1">
        <v>-0.94326322890000003</v>
      </c>
      <c r="C1175" s="1">
        <v>-0.30932062049999998</v>
      </c>
      <c r="D1175" s="1">
        <v>-0.13411798899999999</v>
      </c>
      <c r="E1175" s="1">
        <v>1.001704747</v>
      </c>
    </row>
    <row r="1176" spans="1:5" x14ac:dyDescent="0.3">
      <c r="A1176" s="1">
        <v>1175</v>
      </c>
      <c r="B1176" s="1">
        <v>-0.93761563920000002</v>
      </c>
      <c r="C1176" s="1">
        <v>-0.32420410490000001</v>
      </c>
      <c r="D1176" s="1">
        <v>-0.14056989080000001</v>
      </c>
      <c r="E1176" s="1">
        <v>1.0019936540000001</v>
      </c>
    </row>
    <row r="1177" spans="1:5" x14ac:dyDescent="0.3">
      <c r="A1177" s="1">
        <v>1176</v>
      </c>
      <c r="B1177" s="1">
        <v>-0.93169213569999998</v>
      </c>
      <c r="C1177" s="1">
        <v>-0.33899218790000002</v>
      </c>
      <c r="D1177" s="1">
        <v>-0.146980428</v>
      </c>
      <c r="E1177" s="1">
        <v>1.0022819890000001</v>
      </c>
    </row>
    <row r="1178" spans="1:5" x14ac:dyDescent="0.3">
      <c r="A1178" s="1">
        <v>1177</v>
      </c>
      <c r="B1178" s="1">
        <v>-0.92549469799999995</v>
      </c>
      <c r="C1178" s="1">
        <v>-0.35368060359999998</v>
      </c>
      <c r="D1178" s="1">
        <v>-0.15334775149999999</v>
      </c>
      <c r="E1178" s="1">
        <v>1.0025696675</v>
      </c>
    </row>
    <row r="1179" spans="1:5" x14ac:dyDescent="0.3">
      <c r="A1179" s="1">
        <v>1178</v>
      </c>
      <c r="B1179" s="1">
        <v>-0.91902538229999997</v>
      </c>
      <c r="C1179" s="1">
        <v>-0.36826512249999999</v>
      </c>
      <c r="D1179" s="1">
        <v>-0.15967002769999999</v>
      </c>
      <c r="E1179" s="1">
        <v>1.0028566056999999</v>
      </c>
    </row>
    <row r="1180" spans="1:5" x14ac:dyDescent="0.3">
      <c r="A1180" s="1">
        <v>1179</v>
      </c>
      <c r="B1180" s="1">
        <v>-0.91228632089999995</v>
      </c>
      <c r="C1180" s="1">
        <v>-0.3827415528</v>
      </c>
      <c r="D1180" s="1">
        <v>-0.16594543950000001</v>
      </c>
      <c r="E1180" s="1">
        <v>1.0031427199</v>
      </c>
    </row>
    <row r="1181" spans="1:5" x14ac:dyDescent="0.3">
      <c r="A1181" s="1">
        <v>1180</v>
      </c>
      <c r="B1181" s="1">
        <v>-0.90527972079999997</v>
      </c>
      <c r="C1181" s="1">
        <v>-0.39710574119999997</v>
      </c>
      <c r="D1181" s="1">
        <v>-0.1721721866</v>
      </c>
      <c r="E1181" s="1">
        <v>1.0034279268999999</v>
      </c>
    </row>
    <row r="1182" spans="1:5" x14ac:dyDescent="0.3">
      <c r="A1182" s="1">
        <v>1181</v>
      </c>
      <c r="B1182" s="1">
        <v>-0.89800786320000003</v>
      </c>
      <c r="C1182" s="1">
        <v>-0.41135357430000002</v>
      </c>
      <c r="D1182" s="1">
        <v>-0.1783484857</v>
      </c>
      <c r="E1182" s="1">
        <v>1.0037121439000001</v>
      </c>
    </row>
    <row r="1183" spans="1:5" x14ac:dyDescent="0.3">
      <c r="A1183" s="1">
        <v>1182</v>
      </c>
      <c r="B1183" s="1">
        <v>-0.89047310219999998</v>
      </c>
      <c r="C1183" s="1">
        <v>-0.42548097930000001</v>
      </c>
      <c r="D1183" s="1">
        <v>-0.18447257149999999</v>
      </c>
      <c r="E1183" s="1">
        <v>1.0039952884000001</v>
      </c>
    </row>
    <row r="1184" spans="1:5" x14ac:dyDescent="0.3">
      <c r="A1184" s="1">
        <v>1183</v>
      </c>
      <c r="B1184" s="1">
        <v>-0.88267786439999996</v>
      </c>
      <c r="C1184" s="1">
        <v>-0.43948392539999998</v>
      </c>
      <c r="D1184" s="1">
        <v>-0.19054269660000001</v>
      </c>
      <c r="E1184" s="1">
        <v>1.0042772785</v>
      </c>
    </row>
    <row r="1185" spans="1:5" x14ac:dyDescent="0.3">
      <c r="A1185" s="1">
        <v>1184</v>
      </c>
      <c r="B1185" s="1">
        <v>-0.87462464750000002</v>
      </c>
      <c r="C1185" s="1">
        <v>-0.45335842450000002</v>
      </c>
      <c r="D1185" s="1">
        <v>-0.1965571321</v>
      </c>
      <c r="E1185" s="1">
        <v>1.0045580327999999</v>
      </c>
    </row>
    <row r="1186" spans="1:5" x14ac:dyDescent="0.3">
      <c r="A1186" s="1">
        <v>1185</v>
      </c>
      <c r="B1186" s="1">
        <v>-0.86631601960000004</v>
      </c>
      <c r="C1186" s="1">
        <v>-0.46710053229999998</v>
      </c>
      <c r="D1186" s="1">
        <v>-0.2025141684</v>
      </c>
      <c r="E1186" s="1">
        <v>1.0048374702</v>
      </c>
    </row>
    <row r="1187" spans="1:5" x14ac:dyDescent="0.3">
      <c r="A1187" s="1">
        <v>1186</v>
      </c>
      <c r="B1187" s="1">
        <v>-0.85775461819999999</v>
      </c>
      <c r="C1187" s="1">
        <v>-0.4807063493</v>
      </c>
      <c r="D1187" s="1">
        <v>-0.20841211500000001</v>
      </c>
      <c r="E1187" s="1">
        <v>1.0051155103</v>
      </c>
    </row>
    <row r="1188" spans="1:5" x14ac:dyDescent="0.3">
      <c r="A1188" s="1">
        <v>1187</v>
      </c>
      <c r="B1188" s="1">
        <v>-0.84894314920000002</v>
      </c>
      <c r="C1188" s="1">
        <v>-0.49417202180000003</v>
      </c>
      <c r="D1188" s="1">
        <v>-0.21424930140000001</v>
      </c>
      <c r="E1188" s="1">
        <v>1.0053920730999999</v>
      </c>
    </row>
    <row r="1189" spans="1:5" x14ac:dyDescent="0.3">
      <c r="A1189" s="1">
        <v>1188</v>
      </c>
      <c r="B1189" s="1">
        <v>-0.83988438570000001</v>
      </c>
      <c r="C1189" s="1">
        <v>-0.50749374250000001</v>
      </c>
      <c r="D1189" s="1">
        <v>-0.2200240772</v>
      </c>
      <c r="E1189" s="1">
        <v>1.0056670794</v>
      </c>
    </row>
    <row r="1190" spans="1:5" x14ac:dyDescent="0.3">
      <c r="A1190" s="1">
        <v>1189</v>
      </c>
      <c r="B1190" s="1">
        <v>-0.83058116739999999</v>
      </c>
      <c r="C1190" s="1">
        <v>-0.52066775200000004</v>
      </c>
      <c r="D1190" s="1">
        <v>-0.22573481279999999</v>
      </c>
      <c r="E1190" s="1">
        <v>1.0059404502</v>
      </c>
    </row>
    <row r="1191" spans="1:5" x14ac:dyDescent="0.3">
      <c r="A1191" s="1">
        <v>1190</v>
      </c>
      <c r="B1191" s="1">
        <v>-0.82103639930000005</v>
      </c>
      <c r="C1191" s="1">
        <v>-0.53369033909999997</v>
      </c>
      <c r="D1191" s="1">
        <v>-0.23137989940000001</v>
      </c>
      <c r="E1191" s="1">
        <v>1.0062121073000001</v>
      </c>
    </row>
    <row r="1192" spans="1:5" x14ac:dyDescent="0.3">
      <c r="A1192" s="1">
        <v>1191</v>
      </c>
      <c r="B1192" s="1">
        <v>-0.81125305089999999</v>
      </c>
      <c r="C1192" s="1">
        <v>-0.54655784220000003</v>
      </c>
      <c r="D1192" s="1">
        <v>-0.2369577497</v>
      </c>
      <c r="E1192" s="1">
        <v>1.0064819733000001</v>
      </c>
    </row>
    <row r="1193" spans="1:5" x14ac:dyDescent="0.3">
      <c r="A1193" s="1">
        <v>1192</v>
      </c>
      <c r="B1193" s="1">
        <v>-0.80123415480000004</v>
      </c>
      <c r="C1193" s="1">
        <v>-0.55926664950000005</v>
      </c>
      <c r="D1193" s="1">
        <v>-0.2424667982</v>
      </c>
      <c r="E1193" s="1">
        <v>1.0067499711000001</v>
      </c>
    </row>
    <row r="1194" spans="1:5" x14ac:dyDescent="0.3">
      <c r="A1194" s="1">
        <v>1193</v>
      </c>
      <c r="B1194" s="1">
        <v>-0.79098280610000005</v>
      </c>
      <c r="C1194" s="1">
        <v>-0.57181320049999995</v>
      </c>
      <c r="D1194" s="1">
        <v>-0.24790550149999999</v>
      </c>
      <c r="E1194" s="1">
        <v>1.0070160243999999</v>
      </c>
    </row>
    <row r="1195" spans="1:5" x14ac:dyDescent="0.3">
      <c r="A1195" s="1">
        <v>1194</v>
      </c>
      <c r="B1195" s="1">
        <v>-0.78050216090000002</v>
      </c>
      <c r="C1195" s="1">
        <v>-0.58419398659999999</v>
      </c>
      <c r="D1195" s="1">
        <v>-0.25327233850000003</v>
      </c>
      <c r="E1195" s="1">
        <v>1.0072800577000001</v>
      </c>
    </row>
    <row r="1196" spans="1:5" x14ac:dyDescent="0.3">
      <c r="A1196" s="1">
        <v>1195</v>
      </c>
      <c r="B1196" s="1">
        <v>-0.76979543569999997</v>
      </c>
      <c r="C1196" s="1">
        <v>-0.59640555169999998</v>
      </c>
      <c r="D1196" s="1">
        <v>-0.2585658112</v>
      </c>
      <c r="E1196" s="1">
        <v>1.0075419960000001</v>
      </c>
    </row>
    <row r="1197" spans="1:5" x14ac:dyDescent="0.3">
      <c r="A1197" s="1">
        <v>1196</v>
      </c>
      <c r="B1197" s="1">
        <v>-0.75886590600000003</v>
      </c>
      <c r="C1197" s="1">
        <v>-0.60844449310000004</v>
      </c>
      <c r="D1197" s="1">
        <v>-0.2637844446</v>
      </c>
      <c r="E1197" s="1">
        <v>1.007801765</v>
      </c>
    </row>
    <row r="1198" spans="1:5" x14ac:dyDescent="0.3">
      <c r="A1198" s="1">
        <v>1197</v>
      </c>
      <c r="B1198" s="1">
        <v>-0.74771690530000001</v>
      </c>
      <c r="C1198" s="1">
        <v>-0.6203074623</v>
      </c>
      <c r="D1198" s="1">
        <v>-0.26892678720000002</v>
      </c>
      <c r="E1198" s="1">
        <v>1.0080592913999999</v>
      </c>
    </row>
    <row r="1199" spans="1:5" x14ac:dyDescent="0.3">
      <c r="A1199" s="1">
        <v>1198</v>
      </c>
      <c r="B1199" s="1">
        <v>-0.73635182399999999</v>
      </c>
      <c r="C1199" s="1">
        <v>-0.63199116570000002</v>
      </c>
      <c r="D1199" s="1">
        <v>-0.27399141129999999</v>
      </c>
      <c r="E1199" s="1">
        <v>1.0083145024</v>
      </c>
    </row>
    <row r="1200" spans="1:5" x14ac:dyDescent="0.3">
      <c r="A1200" s="1">
        <v>1199</v>
      </c>
      <c r="B1200" s="1">
        <v>-0.72477410840000001</v>
      </c>
      <c r="C1200" s="1">
        <v>-0.6434923655</v>
      </c>
      <c r="D1200" s="1">
        <v>-0.27897691330000002</v>
      </c>
      <c r="E1200" s="1">
        <v>1.0085673259000001</v>
      </c>
    </row>
    <row r="1201" spans="1:5" x14ac:dyDescent="0.3">
      <c r="A1201" s="1">
        <v>1200</v>
      </c>
      <c r="B1201" s="1">
        <v>-0.71298725959999998</v>
      </c>
      <c r="C1201" s="1">
        <v>-0.65480788010000002</v>
      </c>
      <c r="D1201" s="1">
        <v>-0.28388191419999997</v>
      </c>
      <c r="E1201" s="1">
        <v>1.0088176909</v>
      </c>
    </row>
    <row r="1202" spans="1:5" x14ac:dyDescent="0.3">
      <c r="A1202" s="1">
        <v>1201</v>
      </c>
      <c r="B1202" s="1">
        <v>-0.70099483210000002</v>
      </c>
      <c r="C1202" s="1">
        <v>-0.66593458490000002</v>
      </c>
      <c r="D1202" s="1">
        <v>-0.28870505950000003</v>
      </c>
      <c r="E1202" s="1">
        <v>1.0090655269</v>
      </c>
    </row>
    <row r="1203" spans="1:5" x14ac:dyDescent="0.3">
      <c r="A1203" s="1">
        <v>1202</v>
      </c>
      <c r="B1203" s="1">
        <v>-0.68880043319999995</v>
      </c>
      <c r="C1203" s="1">
        <v>-0.67686941310000004</v>
      </c>
      <c r="D1203" s="1">
        <v>-0.29344501979999998</v>
      </c>
      <c r="E1203" s="1">
        <v>1.0093107643000001</v>
      </c>
    </row>
    <row r="1204" spans="1:5" x14ac:dyDescent="0.3">
      <c r="A1204" s="1">
        <v>1203</v>
      </c>
      <c r="B1204" s="1">
        <v>-0.67640772140000005</v>
      </c>
      <c r="C1204" s="1">
        <v>-0.68760935609999996</v>
      </c>
      <c r="D1204" s="1">
        <v>-0.29810049100000002</v>
      </c>
      <c r="E1204" s="1">
        <v>1.0095533344000001</v>
      </c>
    </row>
    <row r="1205" spans="1:5" x14ac:dyDescent="0.3">
      <c r="A1205" s="1">
        <v>1204</v>
      </c>
      <c r="B1205" s="1">
        <v>-0.66382040539999998</v>
      </c>
      <c r="C1205" s="1">
        <v>-0.69815146449999999</v>
      </c>
      <c r="D1205" s="1">
        <v>-0.3026701946</v>
      </c>
      <c r="E1205" s="1">
        <v>1.0097931693</v>
      </c>
    </row>
    <row r="1206" spans="1:5" x14ac:dyDescent="0.3">
      <c r="A1206" s="1">
        <v>1205</v>
      </c>
      <c r="B1206" s="1">
        <v>-0.65104224330000005</v>
      </c>
      <c r="C1206" s="1">
        <v>-0.70849284820000002</v>
      </c>
      <c r="D1206" s="1">
        <v>-0.30715287790000001</v>
      </c>
      <c r="E1206" s="1">
        <v>1.010030202</v>
      </c>
    </row>
    <row r="1207" spans="1:5" x14ac:dyDescent="0.3">
      <c r="A1207" s="1">
        <v>1206</v>
      </c>
      <c r="B1207" s="1">
        <v>-0.63807704080000005</v>
      </c>
      <c r="C1207" s="1">
        <v>-0.71863067749999998</v>
      </c>
      <c r="D1207" s="1">
        <v>-0.31154731429999999</v>
      </c>
      <c r="E1207" s="1">
        <v>1.0102643661999999</v>
      </c>
    </row>
    <row r="1208" spans="1:5" x14ac:dyDescent="0.3">
      <c r="A1208" s="1">
        <v>1207</v>
      </c>
      <c r="B1208" s="1">
        <v>-0.62492865080000004</v>
      </c>
      <c r="C1208" s="1">
        <v>-0.72856218340000001</v>
      </c>
      <c r="D1208" s="1">
        <v>-0.31585230339999998</v>
      </c>
      <c r="E1208" s="1">
        <v>1.0104955969</v>
      </c>
    </row>
    <row r="1209" spans="1:5" x14ac:dyDescent="0.3">
      <c r="A1209" s="1">
        <v>1208</v>
      </c>
      <c r="B1209" s="1">
        <v>-0.61160097189999996</v>
      </c>
      <c r="C1209" s="1">
        <v>-0.73828465809999999</v>
      </c>
      <c r="D1209" s="1">
        <v>-0.32006667160000002</v>
      </c>
      <c r="E1209" s="1">
        <v>1.0107238294000001</v>
      </c>
    </row>
    <row r="1210" spans="1:5" x14ac:dyDescent="0.3">
      <c r="A1210" s="1">
        <v>1209</v>
      </c>
      <c r="B1210" s="1">
        <v>-0.59809794689999995</v>
      </c>
      <c r="C1210" s="1">
        <v>-0.74779545569999994</v>
      </c>
      <c r="D1210" s="1">
        <v>-0.32418927199999997</v>
      </c>
      <c r="E1210" s="1">
        <v>1.0109490005999999</v>
      </c>
    </row>
    <row r="1211" spans="1:5" x14ac:dyDescent="0.3">
      <c r="A1211" s="1">
        <v>1210</v>
      </c>
      <c r="B1211" s="1">
        <v>-0.58442356230000003</v>
      </c>
      <c r="C1211" s="1">
        <v>-0.75709199279999995</v>
      </c>
      <c r="D1211" s="1">
        <v>-0.3282189848</v>
      </c>
      <c r="E1211" s="1">
        <v>1.0111710478</v>
      </c>
    </row>
    <row r="1212" spans="1:5" x14ac:dyDescent="0.3">
      <c r="A1212" s="1">
        <v>1211</v>
      </c>
      <c r="B1212" s="1">
        <v>-0.57058184690000002</v>
      </c>
      <c r="C1212" s="1">
        <v>-0.76617174880000005</v>
      </c>
      <c r="D1212" s="1">
        <v>-0.33215471730000001</v>
      </c>
      <c r="E1212" s="1">
        <v>1.0113899094000001</v>
      </c>
    </row>
    <row r="1213" spans="1:5" x14ac:dyDescent="0.3">
      <c r="A1213" s="1">
        <v>1212</v>
      </c>
      <c r="B1213" s="1">
        <v>-0.55657687030000003</v>
      </c>
      <c r="C1213" s="1">
        <v>-0.77503226629999999</v>
      </c>
      <c r="D1213" s="1">
        <v>-0.33599540439999998</v>
      </c>
      <c r="E1213" s="1">
        <v>1.011605525</v>
      </c>
    </row>
    <row r="1214" spans="1:5" x14ac:dyDescent="0.3">
      <c r="A1214" s="1">
        <v>1213</v>
      </c>
      <c r="B1214" s="1">
        <v>-0.54241274230000003</v>
      </c>
      <c r="C1214" s="1">
        <v>-0.78367115190000003</v>
      </c>
      <c r="D1214" s="1">
        <v>-0.33974000869999998</v>
      </c>
      <c r="E1214" s="1">
        <v>1.0118178348</v>
      </c>
    </row>
    <row r="1215" spans="1:5" x14ac:dyDescent="0.3">
      <c r="A1215" s="1">
        <v>1214</v>
      </c>
      <c r="B1215" s="1">
        <v>-0.52809361119999998</v>
      </c>
      <c r="C1215" s="1">
        <v>-0.79208607649999996</v>
      </c>
      <c r="D1215" s="1">
        <v>-0.3433875206</v>
      </c>
      <c r="E1215" s="1">
        <v>1.0120267804</v>
      </c>
    </row>
    <row r="1216" spans="1:5" x14ac:dyDescent="0.3">
      <c r="A1216" s="1">
        <v>1215</v>
      </c>
      <c r="B1216" s="1">
        <v>-0.51362366309999996</v>
      </c>
      <c r="C1216" s="1">
        <v>-0.80027477570000005</v>
      </c>
      <c r="D1216" s="1">
        <v>-0.34693695860000001</v>
      </c>
      <c r="E1216" s="1">
        <v>1.0122323039000001</v>
      </c>
    </row>
    <row r="1217" spans="1:5" x14ac:dyDescent="0.3">
      <c r="A1217" s="1">
        <v>1216</v>
      </c>
      <c r="B1217" s="1">
        <v>-0.4990071204</v>
      </c>
      <c r="C1217" s="1">
        <v>-0.80823504999999995</v>
      </c>
      <c r="D1217" s="1">
        <v>-0.35038736929999997</v>
      </c>
      <c r="E1217" s="1">
        <v>1.0124343489000001</v>
      </c>
    </row>
    <row r="1218" spans="1:5" x14ac:dyDescent="0.3">
      <c r="A1218" s="1">
        <v>1217</v>
      </c>
      <c r="B1218" s="1">
        <v>-0.48424824080000001</v>
      </c>
      <c r="C1218" s="1">
        <v>-0.8159647659</v>
      </c>
      <c r="D1218" s="1">
        <v>-0.35373782790000002</v>
      </c>
      <c r="E1218" s="1">
        <v>1.0126328598000001</v>
      </c>
    </row>
    <row r="1219" spans="1:5" x14ac:dyDescent="0.3">
      <c r="A1219" s="1">
        <v>1218</v>
      </c>
      <c r="B1219" s="1">
        <v>-0.46935131600000002</v>
      </c>
      <c r="C1219" s="1">
        <v>-0.82346185530000005</v>
      </c>
      <c r="D1219" s="1">
        <v>-0.3569874381</v>
      </c>
      <c r="E1219" s="1">
        <v>1.012827782</v>
      </c>
    </row>
    <row r="1220" spans="1:5" x14ac:dyDescent="0.3">
      <c r="A1220" s="1">
        <v>1219</v>
      </c>
      <c r="B1220" s="1">
        <v>-0.45432067069999998</v>
      </c>
      <c r="C1220" s="1">
        <v>-0.83072431680000003</v>
      </c>
      <c r="D1220" s="1">
        <v>-0.3601353323</v>
      </c>
      <c r="E1220" s="1">
        <v>1.0130190619999999</v>
      </c>
    </row>
    <row r="1221" spans="1:5" x14ac:dyDescent="0.3">
      <c r="A1221" s="1">
        <v>1220</v>
      </c>
      <c r="B1221" s="1">
        <v>-0.43916066120000002</v>
      </c>
      <c r="C1221" s="1">
        <v>-0.83775021549999995</v>
      </c>
      <c r="D1221" s="1">
        <v>-0.36318067189999997</v>
      </c>
      <c r="E1221" s="1">
        <v>1.0132066474000001</v>
      </c>
    </row>
    <row r="1222" spans="1:5" x14ac:dyDescent="0.3">
      <c r="A1222" s="1">
        <v>1221</v>
      </c>
      <c r="B1222" s="1">
        <v>-0.4238756743</v>
      </c>
      <c r="C1222" s="1">
        <v>-0.84453768340000002</v>
      </c>
      <c r="D1222" s="1">
        <v>-0.36612264719999998</v>
      </c>
      <c r="E1222" s="1">
        <v>1.0133904868000001</v>
      </c>
    </row>
    <row r="1223" spans="1:5" x14ac:dyDescent="0.3">
      <c r="A1223" s="1">
        <v>1222</v>
      </c>
      <c r="B1223" s="1">
        <v>-0.40847012640000002</v>
      </c>
      <c r="C1223" s="1">
        <v>-0.85108491990000001</v>
      </c>
      <c r="D1223" s="1">
        <v>-0.36896047770000001</v>
      </c>
      <c r="E1223" s="1">
        <v>1.0135705299</v>
      </c>
    </row>
    <row r="1224" spans="1:5" x14ac:dyDescent="0.3">
      <c r="A1224" s="1">
        <v>1223</v>
      </c>
      <c r="B1224" s="1">
        <v>-0.39294846179999998</v>
      </c>
      <c r="C1224" s="1">
        <v>-0.857390192</v>
      </c>
      <c r="D1224" s="1">
        <v>-0.37169341239999998</v>
      </c>
      <c r="E1224" s="1">
        <v>1.0137467276000001</v>
      </c>
    </row>
    <row r="1225" spans="1:5" x14ac:dyDescent="0.3">
      <c r="A1225" s="1">
        <v>1224</v>
      </c>
      <c r="B1225" s="1">
        <v>-0.37731515189999998</v>
      </c>
      <c r="C1225" s="1">
        <v>-0.86345183449999996</v>
      </c>
      <c r="D1225" s="1">
        <v>-0.3743207295</v>
      </c>
      <c r="E1225" s="1">
        <v>1.0139190317</v>
      </c>
    </row>
    <row r="1226" spans="1:5" x14ac:dyDescent="0.3">
      <c r="A1226" s="1">
        <v>1225</v>
      </c>
      <c r="B1226" s="1">
        <v>-0.36157469409999998</v>
      </c>
      <c r="C1226" s="1">
        <v>-0.86926825050000001</v>
      </c>
      <c r="D1226" s="1">
        <v>-0.37684173679999999</v>
      </c>
      <c r="E1226" s="1">
        <v>1.0140873954</v>
      </c>
    </row>
    <row r="1227" spans="1:5" x14ac:dyDescent="0.3">
      <c r="A1227" s="1">
        <v>1226</v>
      </c>
      <c r="B1227" s="1">
        <v>-0.34573161029999999</v>
      </c>
      <c r="C1227" s="1">
        <v>-0.87483791150000001</v>
      </c>
      <c r="D1227" s="1">
        <v>-0.37925577179999997</v>
      </c>
      <c r="E1227" s="1">
        <v>1.0142517726</v>
      </c>
    </row>
    <row r="1228" spans="1:5" x14ac:dyDescent="0.3">
      <c r="A1228" s="1">
        <v>1227</v>
      </c>
      <c r="B1228" s="1">
        <v>-0.32979044569999999</v>
      </c>
      <c r="C1228" s="1">
        <v>-0.88015935759999997</v>
      </c>
      <c r="D1228" s="1">
        <v>-0.3815622018</v>
      </c>
      <c r="E1228" s="1">
        <v>1.0144121187999999</v>
      </c>
    </row>
    <row r="1229" spans="1:5" x14ac:dyDescent="0.3">
      <c r="A1229" s="1">
        <v>1228</v>
      </c>
      <c r="B1229" s="1">
        <v>-0.31375576799999999</v>
      </c>
      <c r="C1229" s="1">
        <v>-0.88523119780000004</v>
      </c>
      <c r="D1229" s="1">
        <v>-0.38376042399999999</v>
      </c>
      <c r="E1229" s="1">
        <v>1.0145683902</v>
      </c>
    </row>
    <row r="1230" spans="1:5" x14ac:dyDescent="0.3">
      <c r="A1230" s="1">
        <v>1229</v>
      </c>
      <c r="B1230" s="1">
        <v>-0.29763216599999998</v>
      </c>
      <c r="C1230" s="1">
        <v>-0.89005211009999996</v>
      </c>
      <c r="D1230" s="1">
        <v>-0.38584986529999998</v>
      </c>
      <c r="E1230" s="1">
        <v>1.0147205446000001</v>
      </c>
    </row>
    <row r="1231" spans="1:5" x14ac:dyDescent="0.3">
      <c r="A1231" s="1">
        <v>1230</v>
      </c>
      <c r="B1231" s="1">
        <v>-0.28142424840000002</v>
      </c>
      <c r="C1231" s="1">
        <v>-0.89462084210000004</v>
      </c>
      <c r="D1231" s="1">
        <v>-0.38782998299999999</v>
      </c>
      <c r="E1231" s="1">
        <v>1.0148685405</v>
      </c>
    </row>
    <row r="1232" spans="1:5" x14ac:dyDescent="0.3">
      <c r="A1232" s="1">
        <v>1231</v>
      </c>
      <c r="B1232" s="1">
        <v>-0.26513664250000002</v>
      </c>
      <c r="C1232" s="1">
        <v>-0.89893621069999996</v>
      </c>
      <c r="D1232" s="1">
        <v>-0.38970026429999999</v>
      </c>
      <c r="E1232" s="1">
        <v>1.0150123379</v>
      </c>
    </row>
    <row r="1233" spans="1:5" x14ac:dyDescent="0.3">
      <c r="A1233" s="1">
        <v>1232</v>
      </c>
      <c r="B1233" s="1">
        <v>-0.2487739934</v>
      </c>
      <c r="C1233" s="1">
        <v>-0.90299710239999997</v>
      </c>
      <c r="D1233" s="1">
        <v>-0.39146022660000002</v>
      </c>
      <c r="E1233" s="1">
        <v>1.0151518978</v>
      </c>
    </row>
    <row r="1234" spans="1:5" x14ac:dyDescent="0.3">
      <c r="A1234" s="1">
        <v>1233</v>
      </c>
      <c r="B1234" s="1">
        <v>-0.2323409625</v>
      </c>
      <c r="C1234" s="1">
        <v>-0.90680247349999998</v>
      </c>
      <c r="D1234" s="1">
        <v>-0.39310941760000001</v>
      </c>
      <c r="E1234" s="1">
        <v>1.0152871825000001</v>
      </c>
    </row>
    <row r="1235" spans="1:5" x14ac:dyDescent="0.3">
      <c r="A1235" s="1">
        <v>1234</v>
      </c>
      <c r="B1235" s="1">
        <v>-0.2158422264</v>
      </c>
      <c r="C1235" s="1">
        <v>-0.91035135030000003</v>
      </c>
      <c r="D1235" s="1">
        <v>-0.39464741539999998</v>
      </c>
      <c r="E1235" s="1">
        <v>1.0154181552999999</v>
      </c>
    </row>
    <row r="1236" spans="1:5" x14ac:dyDescent="0.3">
      <c r="A1236" s="1">
        <v>1235</v>
      </c>
      <c r="B1236" s="1">
        <v>-0.1992824758</v>
      </c>
      <c r="C1236" s="1">
        <v>-0.91364282929999996</v>
      </c>
      <c r="D1236" s="1">
        <v>-0.39607382839999999</v>
      </c>
      <c r="E1236" s="1">
        <v>1.015544781</v>
      </c>
    </row>
    <row r="1237" spans="1:5" x14ac:dyDescent="0.3">
      <c r="A1237" s="1">
        <v>1236</v>
      </c>
      <c r="B1237" s="1">
        <v>-0.18266641419999999</v>
      </c>
      <c r="C1237" s="1">
        <v>-0.91667607699999998</v>
      </c>
      <c r="D1237" s="1">
        <v>-0.39738829530000003</v>
      </c>
      <c r="E1237" s="1">
        <v>1.0156670252</v>
      </c>
    </row>
    <row r="1238" spans="1:5" x14ac:dyDescent="0.3">
      <c r="A1238" s="1">
        <v>1237</v>
      </c>
      <c r="B1238" s="1">
        <v>-0.165998757</v>
      </c>
      <c r="C1238" s="1">
        <v>-0.91945033009999999</v>
      </c>
      <c r="D1238" s="1">
        <v>-0.39859048549999998</v>
      </c>
      <c r="E1238" s="1">
        <v>1.0157848550999999</v>
      </c>
    </row>
    <row r="1239" spans="1:5" x14ac:dyDescent="0.3">
      <c r="A1239" s="1">
        <v>1238</v>
      </c>
      <c r="B1239" s="1">
        <v>-0.1492842298</v>
      </c>
      <c r="C1239" s="1">
        <v>-0.92196489579999996</v>
      </c>
      <c r="D1239" s="1">
        <v>-0.39968009879999999</v>
      </c>
      <c r="E1239" s="1">
        <v>1.0158982388</v>
      </c>
    </row>
    <row r="1240" spans="1:5" x14ac:dyDescent="0.3">
      <c r="A1240" s="1">
        <v>1239</v>
      </c>
      <c r="B1240" s="1">
        <v>-0.13252756800000001</v>
      </c>
      <c r="C1240" s="1">
        <v>-0.92421915170000002</v>
      </c>
      <c r="D1240" s="1">
        <v>-0.40065686540000001</v>
      </c>
      <c r="E1240" s="1">
        <v>1.0160071459</v>
      </c>
    </row>
    <row r="1241" spans="1:5" x14ac:dyDescent="0.3">
      <c r="A1241" s="1">
        <v>1240</v>
      </c>
      <c r="B1241" s="1">
        <v>-0.115733515</v>
      </c>
      <c r="C1241" s="1">
        <v>-0.92621254600000003</v>
      </c>
      <c r="D1241" s="1">
        <v>-0.40152054619999999</v>
      </c>
      <c r="E1241" s="1">
        <v>1.0161115468999999</v>
      </c>
    </row>
    <row r="1242" spans="1:5" x14ac:dyDescent="0.3">
      <c r="A1242" s="1">
        <v>1241</v>
      </c>
      <c r="B1242" s="1">
        <v>-9.89068211E-2</v>
      </c>
      <c r="C1242" s="1">
        <v>-0.92794459699999998</v>
      </c>
      <c r="D1242" s="1">
        <v>-0.40227093269999997</v>
      </c>
      <c r="E1242" s="1">
        <v>1.0162114139</v>
      </c>
    </row>
    <row r="1243" spans="1:5" x14ac:dyDescent="0.3">
      <c r="A1243" s="1">
        <v>1242</v>
      </c>
      <c r="B1243" s="1">
        <v>-8.2052242600000005E-2</v>
      </c>
      <c r="C1243" s="1">
        <v>-0.92941489399999999</v>
      </c>
      <c r="D1243" s="1">
        <v>-0.40290784680000002</v>
      </c>
      <c r="E1243" s="1">
        <v>1.0163067198</v>
      </c>
    </row>
    <row r="1244" spans="1:5" x14ac:dyDescent="0.3">
      <c r="A1244" s="1">
        <v>1243</v>
      </c>
      <c r="B1244" s="1">
        <v>-6.51745408E-2</v>
      </c>
      <c r="C1244" s="1">
        <v>-0.93062309669999999</v>
      </c>
      <c r="D1244" s="1">
        <v>-0.40343114130000002</v>
      </c>
      <c r="E1244" s="1">
        <v>1.0163974392999999</v>
      </c>
    </row>
    <row r="1245" spans="1:5" x14ac:dyDescent="0.3">
      <c r="A1245" s="1">
        <v>1244</v>
      </c>
      <c r="B1245" s="1">
        <v>-4.82784801E-2</v>
      </c>
      <c r="C1245" s="1">
        <v>-0.93156893519999995</v>
      </c>
      <c r="D1245" s="1">
        <v>-0.40384069909999998</v>
      </c>
      <c r="E1245" s="1">
        <v>1.0164835477</v>
      </c>
    </row>
    <row r="1246" spans="1:5" x14ac:dyDescent="0.3">
      <c r="A1246" s="1">
        <v>1245</v>
      </c>
      <c r="B1246" s="1">
        <v>-3.1368827699999997E-2</v>
      </c>
      <c r="C1246" s="1">
        <v>-0.93225221030000005</v>
      </c>
      <c r="D1246" s="1">
        <v>-0.40413643420000001</v>
      </c>
      <c r="E1246" s="1">
        <v>1.0165650222</v>
      </c>
    </row>
    <row r="1247" spans="1:5" x14ac:dyDescent="0.3">
      <c r="A1247" s="1">
        <v>1246</v>
      </c>
      <c r="B1247" s="1">
        <v>-1.44503518E-2</v>
      </c>
      <c r="C1247" s="1">
        <v>-0.93267279329999997</v>
      </c>
      <c r="D1247" s="1">
        <v>-0.40431829079999998</v>
      </c>
      <c r="E1247" s="1">
        <v>1.0166418407</v>
      </c>
    </row>
    <row r="1248" spans="1:5" x14ac:dyDescent="0.3">
      <c r="A1248" s="1">
        <v>1247</v>
      </c>
      <c r="B1248" s="1">
        <v>2.4721792000000002E-3</v>
      </c>
      <c r="C1248" s="1">
        <v>-0.932830626</v>
      </c>
      <c r="D1248" s="1">
        <v>-0.40438624379999999</v>
      </c>
      <c r="E1248" s="1">
        <v>1.0167139827</v>
      </c>
    </row>
    <row r="1249" spans="1:5" x14ac:dyDescent="0.3">
      <c r="A1249" s="1">
        <v>1248</v>
      </c>
      <c r="B1249" s="1">
        <v>1.93939978E-2</v>
      </c>
      <c r="C1249" s="1">
        <v>-0.93272572050000002</v>
      </c>
      <c r="D1249" s="1">
        <v>-0.40434029869999999</v>
      </c>
      <c r="E1249" s="1">
        <v>1.0167814288000001</v>
      </c>
    </row>
    <row r="1250" spans="1:5" x14ac:dyDescent="0.3">
      <c r="A1250" s="1">
        <v>1249</v>
      </c>
      <c r="B1250" s="1">
        <v>3.6310338800000001E-2</v>
      </c>
      <c r="C1250" s="1">
        <v>-0.93235815950000001</v>
      </c>
      <c r="D1250" s="1">
        <v>-0.4041804913</v>
      </c>
      <c r="E1250" s="1">
        <v>1.0168441611000001</v>
      </c>
    </row>
    <row r="1251" spans="1:5" x14ac:dyDescent="0.3">
      <c r="A1251" s="1">
        <v>1250</v>
      </c>
      <c r="B1251" s="1">
        <v>5.3216440500000003E-2</v>
      </c>
      <c r="C1251" s="1">
        <v>-0.93172809570000004</v>
      </c>
      <c r="D1251" s="1">
        <v>-0.40390688810000003</v>
      </c>
      <c r="E1251" s="1">
        <v>1.0169021625000001</v>
      </c>
    </row>
    <row r="1252" spans="1:5" x14ac:dyDescent="0.3">
      <c r="A1252" s="1">
        <v>1251</v>
      </c>
      <c r="B1252" s="1">
        <v>7.0107545199999996E-2</v>
      </c>
      <c r="C1252" s="1">
        <v>-0.93083575220000003</v>
      </c>
      <c r="D1252" s="1">
        <v>-0.40351958580000002</v>
      </c>
      <c r="E1252" s="1">
        <v>1.0169554177</v>
      </c>
    </row>
    <row r="1253" spans="1:5" x14ac:dyDescent="0.3">
      <c r="A1253" s="1">
        <v>1252</v>
      </c>
      <c r="B1253" s="1">
        <v>8.6978901299999994E-2</v>
      </c>
      <c r="C1253" s="1">
        <v>-0.92968142200000004</v>
      </c>
      <c r="D1253" s="1">
        <v>-0.40301871169999998</v>
      </c>
      <c r="E1253" s="1">
        <v>1.0170039124000001</v>
      </c>
    </row>
    <row r="1254" spans="1:5" x14ac:dyDescent="0.3">
      <c r="A1254" s="1">
        <v>1253</v>
      </c>
      <c r="B1254" s="1">
        <v>0.1038257637</v>
      </c>
      <c r="C1254" s="1">
        <v>-0.92826546830000001</v>
      </c>
      <c r="D1254" s="1">
        <v>-0.40240442329999998</v>
      </c>
      <c r="E1254" s="1">
        <v>1.0170476335</v>
      </c>
    </row>
    <row r="1255" spans="1:5" x14ac:dyDescent="0.3">
      <c r="A1255" s="1">
        <v>1254</v>
      </c>
      <c r="B1255" s="1">
        <v>0.120643395</v>
      </c>
      <c r="C1255" s="1">
        <v>-0.92658832400000002</v>
      </c>
      <c r="D1255" s="1">
        <v>-0.40167690830000002</v>
      </c>
      <c r="E1255" s="1">
        <v>1.0170865694</v>
      </c>
    </row>
    <row r="1256" spans="1:5" x14ac:dyDescent="0.3">
      <c r="A1256" s="1">
        <v>1255</v>
      </c>
      <c r="B1256" s="1">
        <v>0.1374270672</v>
      </c>
      <c r="C1256" s="1">
        <v>-0.92465049170000002</v>
      </c>
      <c r="D1256" s="1">
        <v>-0.40083638490000001</v>
      </c>
      <c r="E1256" s="1">
        <v>1.0171207096999999</v>
      </c>
    </row>
    <row r="1257" spans="1:5" x14ac:dyDescent="0.3">
      <c r="A1257" s="1">
        <v>1256</v>
      </c>
      <c r="B1257" s="1">
        <v>0.154172062</v>
      </c>
      <c r="C1257" s="1">
        <v>-0.92245254359999995</v>
      </c>
      <c r="D1257" s="1">
        <v>-0.39988310119999998</v>
      </c>
      <c r="E1257" s="1">
        <v>1.0171500452</v>
      </c>
    </row>
    <row r="1258" spans="1:5" x14ac:dyDescent="0.3">
      <c r="A1258" s="1">
        <v>1257</v>
      </c>
      <c r="B1258" s="1">
        <v>0.17087367270000001</v>
      </c>
      <c r="C1258" s="1">
        <v>-0.91999512120000004</v>
      </c>
      <c r="D1258" s="1">
        <v>-0.39881733539999997</v>
      </c>
      <c r="E1258" s="1">
        <v>1.0171745681</v>
      </c>
    </row>
    <row r="1259" spans="1:5" x14ac:dyDescent="0.3">
      <c r="A1259" s="1">
        <v>1258</v>
      </c>
      <c r="B1259" s="1">
        <v>0.18752720470000001</v>
      </c>
      <c r="C1259" s="1">
        <v>-0.91727893530000004</v>
      </c>
      <c r="D1259" s="1">
        <v>-0.39763939570000001</v>
      </c>
      <c r="E1259" s="1">
        <v>1.0171942718</v>
      </c>
    </row>
    <row r="1260" spans="1:5" x14ac:dyDescent="0.3">
      <c r="A1260" s="1">
        <v>1259</v>
      </c>
      <c r="B1260" s="1">
        <v>0.20412797699999999</v>
      </c>
      <c r="C1260" s="1">
        <v>-0.91430476569999997</v>
      </c>
      <c r="D1260" s="1">
        <v>-0.39634962039999999</v>
      </c>
      <c r="E1260" s="1">
        <v>1.0172091511000001</v>
      </c>
    </row>
    <row r="1261" spans="1:5" x14ac:dyDescent="0.3">
      <c r="A1261" s="1">
        <v>1260</v>
      </c>
      <c r="B1261" s="1">
        <v>0.22067132319999999</v>
      </c>
      <c r="C1261" s="1">
        <v>-0.91107346079999996</v>
      </c>
      <c r="D1261" s="1">
        <v>-0.39494837739999999</v>
      </c>
      <c r="E1261" s="1">
        <v>1.0172192018999999</v>
      </c>
    </row>
    <row r="1262" spans="1:5" x14ac:dyDescent="0.3">
      <c r="A1262" s="1">
        <v>1261</v>
      </c>
      <c r="B1262" s="1">
        <v>0.23715259250000001</v>
      </c>
      <c r="C1262" s="1">
        <v>-0.90758593799999998</v>
      </c>
      <c r="D1262" s="1">
        <v>-0.39343606450000002</v>
      </c>
      <c r="E1262" s="1">
        <v>1.0172244215999999</v>
      </c>
    </row>
    <row r="1263" spans="1:5" x14ac:dyDescent="0.3">
      <c r="A1263" s="1">
        <v>1262</v>
      </c>
      <c r="B1263" s="1">
        <v>0.25356715120000001</v>
      </c>
      <c r="C1263" s="1">
        <v>-0.90384318279999998</v>
      </c>
      <c r="D1263" s="1">
        <v>-0.39181310899999999</v>
      </c>
      <c r="E1263" s="1">
        <v>1.0172248088</v>
      </c>
    </row>
    <row r="1264" spans="1:5" x14ac:dyDescent="0.3">
      <c r="A1264" s="1">
        <v>1263</v>
      </c>
      <c r="B1264" s="1">
        <v>0.26991038309999998</v>
      </c>
      <c r="C1264" s="1">
        <v>-0.89984624869999996</v>
      </c>
      <c r="D1264" s="1">
        <v>-0.39007996779999998</v>
      </c>
      <c r="E1264" s="1">
        <v>1.0172203633000001</v>
      </c>
    </row>
    <row r="1265" spans="1:5" x14ac:dyDescent="0.3">
      <c r="A1265" s="1">
        <v>1264</v>
      </c>
      <c r="B1265" s="1">
        <v>0.28617769129999998</v>
      </c>
      <c r="C1265" s="1">
        <v>-0.89559625730000003</v>
      </c>
      <c r="D1265" s="1">
        <v>-0.38823712719999998</v>
      </c>
      <c r="E1265" s="1">
        <v>1.0172110862999999</v>
      </c>
    </row>
    <row r="1266" spans="1:5" x14ac:dyDescent="0.3">
      <c r="A1266" s="1">
        <v>1265</v>
      </c>
      <c r="B1266" s="1">
        <v>0.30236449900000001</v>
      </c>
      <c r="C1266" s="1">
        <v>-0.89109439779999999</v>
      </c>
      <c r="D1266" s="1">
        <v>-0.38628510290000001</v>
      </c>
      <c r="E1266" s="1">
        <v>1.0171969803000001</v>
      </c>
    </row>
    <row r="1267" spans="1:5" x14ac:dyDescent="0.3">
      <c r="A1267" s="1">
        <v>1266</v>
      </c>
      <c r="B1267" s="1">
        <v>0.31846625049999999</v>
      </c>
      <c r="C1267" s="1">
        <v>-0.8863419267</v>
      </c>
      <c r="D1267" s="1">
        <v>-0.38422443960000002</v>
      </c>
      <c r="E1267" s="1">
        <v>1.0171780491</v>
      </c>
    </row>
    <row r="1268" spans="1:5" x14ac:dyDescent="0.3">
      <c r="A1268" s="1">
        <v>1267</v>
      </c>
      <c r="B1268" s="1">
        <v>0.33447841239999998</v>
      </c>
      <c r="C1268" s="1">
        <v>-0.88134016729999998</v>
      </c>
      <c r="D1268" s="1">
        <v>-0.38205571119999998</v>
      </c>
      <c r="E1268" s="1">
        <v>1.0171542977000001</v>
      </c>
    </row>
    <row r="1269" spans="1:5" x14ac:dyDescent="0.3">
      <c r="A1269" s="1">
        <v>1268</v>
      </c>
      <c r="B1269" s="1">
        <v>0.35039647480000002</v>
      </c>
      <c r="C1269" s="1">
        <v>-0.87609051000000004</v>
      </c>
      <c r="D1269" s="1">
        <v>-0.37977952059999998</v>
      </c>
      <c r="E1269" s="1">
        <v>1.0171257324</v>
      </c>
    </row>
    <row r="1270" spans="1:5" x14ac:dyDescent="0.3">
      <c r="A1270" s="1">
        <v>1269</v>
      </c>
      <c r="B1270" s="1">
        <v>0.36621595229999998</v>
      </c>
      <c r="C1270" s="1">
        <v>-0.87059441150000005</v>
      </c>
      <c r="D1270" s="1">
        <v>-0.37739649920000001</v>
      </c>
      <c r="E1270" s="1">
        <v>1.0170923609</v>
      </c>
    </row>
    <row r="1271" spans="1:5" x14ac:dyDescent="0.3">
      <c r="A1271" s="1">
        <v>1270</v>
      </c>
      <c r="B1271" s="1">
        <v>0.38193238480000002</v>
      </c>
      <c r="C1271" s="1">
        <v>-0.86485339449999998</v>
      </c>
      <c r="D1271" s="1">
        <v>-0.37490730750000001</v>
      </c>
      <c r="E1271" s="1">
        <v>1.0170541921</v>
      </c>
    </row>
    <row r="1272" spans="1:5" x14ac:dyDescent="0.3">
      <c r="A1272" s="1">
        <v>1271</v>
      </c>
      <c r="B1272" s="1">
        <v>0.39754133899999999</v>
      </c>
      <c r="C1272" s="1">
        <v>-0.85886904750000004</v>
      </c>
      <c r="D1272" s="1">
        <v>-0.37231263409999998</v>
      </c>
      <c r="E1272" s="1">
        <v>1.0170112361999999</v>
      </c>
    </row>
    <row r="1273" spans="1:5" x14ac:dyDescent="0.3">
      <c r="A1273" s="1">
        <v>1272</v>
      </c>
      <c r="B1273" s="1">
        <v>0.41303840939999997</v>
      </c>
      <c r="C1273" s="1">
        <v>-0.85264302449999996</v>
      </c>
      <c r="D1273" s="1">
        <v>-0.36961319609999999</v>
      </c>
      <c r="E1273" s="1">
        <v>1.0169635046000001</v>
      </c>
    </row>
    <row r="1274" spans="1:5" x14ac:dyDescent="0.3">
      <c r="A1274" s="1">
        <v>1273</v>
      </c>
      <c r="B1274" s="1">
        <v>0.42841921900000002</v>
      </c>
      <c r="C1274" s="1">
        <v>-0.84617704449999998</v>
      </c>
      <c r="D1274" s="1">
        <v>-0.36680973890000002</v>
      </c>
      <c r="E1274" s="1">
        <v>1.0169110101000001</v>
      </c>
    </row>
    <row r="1275" spans="1:5" x14ac:dyDescent="0.3">
      <c r="A1275" s="1">
        <v>1274</v>
      </c>
      <c r="B1275" s="1">
        <v>0.4436794208</v>
      </c>
      <c r="C1275" s="1">
        <v>-0.83947289110000001</v>
      </c>
      <c r="D1275" s="1">
        <v>-0.3639030358</v>
      </c>
      <c r="E1275" s="1">
        <v>1.0168537666999999</v>
      </c>
    </row>
    <row r="1276" spans="1:5" x14ac:dyDescent="0.3">
      <c r="A1276" s="1">
        <v>1275</v>
      </c>
      <c r="B1276" s="1">
        <v>0.45881469870000002</v>
      </c>
      <c r="C1276" s="1">
        <v>-0.83253241239999998</v>
      </c>
      <c r="D1276" s="1">
        <v>-0.360893888</v>
      </c>
      <c r="E1276" s="1">
        <v>1.0167917898000001</v>
      </c>
    </row>
    <row r="1277" spans="1:5" x14ac:dyDescent="0.3">
      <c r="A1277" s="1">
        <v>1276</v>
      </c>
      <c r="B1277" s="1">
        <v>0.47382076849999999</v>
      </c>
      <c r="C1277" s="1">
        <v>-0.82535751999999996</v>
      </c>
      <c r="D1277" s="1">
        <v>-0.35778312449999999</v>
      </c>
      <c r="E1277" s="1">
        <v>1.0167250960000001</v>
      </c>
    </row>
    <row r="1278" spans="1:5" x14ac:dyDescent="0.3">
      <c r="A1278" s="1">
        <v>1277</v>
      </c>
      <c r="B1278" s="1">
        <v>0.48869337899999998</v>
      </c>
      <c r="C1278" s="1">
        <v>-0.81795018949999998</v>
      </c>
      <c r="D1278" s="1">
        <v>-0.35457160160000001</v>
      </c>
      <c r="E1278" s="1">
        <v>1.016653703</v>
      </c>
    </row>
    <row r="1279" spans="1:5" x14ac:dyDescent="0.3">
      <c r="A1279" s="1">
        <v>1278</v>
      </c>
      <c r="B1279" s="1">
        <v>0.50342831300000002</v>
      </c>
      <c r="C1279" s="1">
        <v>-0.81031245910000005</v>
      </c>
      <c r="D1279" s="1">
        <v>-0.3512602031</v>
      </c>
      <c r="E1279" s="1">
        <v>1.0165776301</v>
      </c>
    </row>
    <row r="1280" spans="1:5" x14ac:dyDescent="0.3">
      <c r="A1280" s="1">
        <v>1279</v>
      </c>
      <c r="B1280" s="1">
        <v>0.5180213884</v>
      </c>
      <c r="C1280" s="1">
        <v>-0.80244642980000003</v>
      </c>
      <c r="D1280" s="1">
        <v>-0.34784984000000002</v>
      </c>
      <c r="E1280" s="1">
        <v>1.0164968974999999</v>
      </c>
    </row>
    <row r="1281" spans="1:5" x14ac:dyDescent="0.3">
      <c r="A1281" s="1">
        <v>1280</v>
      </c>
      <c r="B1281" s="1">
        <v>0.53246845929999997</v>
      </c>
      <c r="C1281" s="1">
        <v>-0.79435426470000003</v>
      </c>
      <c r="D1281" s="1">
        <v>-0.34434144999999999</v>
      </c>
      <c r="E1281" s="1">
        <v>1.016411527</v>
      </c>
    </row>
    <row r="1282" spans="1:5" x14ac:dyDescent="0.3">
      <c r="A1282" s="1">
        <v>1281</v>
      </c>
      <c r="B1282" s="1">
        <v>0.54676541700000003</v>
      </c>
      <c r="C1282" s="1">
        <v>-0.78603818879999998</v>
      </c>
      <c r="D1282" s="1">
        <v>-0.34073599780000002</v>
      </c>
      <c r="E1282" s="1">
        <v>1.0163215415</v>
      </c>
    </row>
    <row r="1283" spans="1:5" x14ac:dyDescent="0.3">
      <c r="A1283" s="1">
        <v>1282</v>
      </c>
      <c r="B1283" s="1">
        <v>0.56090819069999998</v>
      </c>
      <c r="C1283" s="1">
        <v>-0.77750048810000005</v>
      </c>
      <c r="D1283" s="1">
        <v>-0.33703447460000002</v>
      </c>
      <c r="E1283" s="1">
        <v>1.016226965</v>
      </c>
    </row>
    <row r="1284" spans="1:5" x14ac:dyDescent="0.3">
      <c r="A1284" s="1">
        <v>1283</v>
      </c>
      <c r="B1284" s="1">
        <v>0.5748927492</v>
      </c>
      <c r="C1284" s="1">
        <v>-0.76874350950000003</v>
      </c>
      <c r="D1284" s="1">
        <v>-0.33323789770000001</v>
      </c>
      <c r="E1284" s="1">
        <v>1.0161278230999999</v>
      </c>
    </row>
    <row r="1285" spans="1:5" x14ac:dyDescent="0.3">
      <c r="A1285" s="1">
        <v>1284</v>
      </c>
      <c r="B1285" s="1">
        <v>0.58871510120000003</v>
      </c>
      <c r="C1285" s="1">
        <v>-0.75976966000000001</v>
      </c>
      <c r="D1285" s="1">
        <v>-0.32934731080000001</v>
      </c>
      <c r="E1285" s="1">
        <v>1.0160241423</v>
      </c>
    </row>
    <row r="1286" spans="1:5" x14ac:dyDescent="0.3">
      <c r="A1286" s="1">
        <v>1285</v>
      </c>
      <c r="B1286" s="1">
        <v>0.60237129680000001</v>
      </c>
      <c r="C1286" s="1">
        <v>-0.75058140640000004</v>
      </c>
      <c r="D1286" s="1">
        <v>-0.32536378329999999</v>
      </c>
      <c r="E1286" s="1">
        <v>1.0159159504999999</v>
      </c>
    </row>
    <row r="1287" spans="1:5" x14ac:dyDescent="0.3">
      <c r="A1287" s="1">
        <v>1286</v>
      </c>
      <c r="B1287" s="1">
        <v>0.61585742850000003</v>
      </c>
      <c r="C1287" s="1">
        <v>-0.74118127479999996</v>
      </c>
      <c r="D1287" s="1">
        <v>-0.32128841050000001</v>
      </c>
      <c r="E1287" s="1">
        <v>1.0158032768</v>
      </c>
    </row>
    <row r="1288" spans="1:5" x14ac:dyDescent="0.3">
      <c r="A1288" s="1">
        <v>1287</v>
      </c>
      <c r="B1288" s="1">
        <v>0.62916963169999995</v>
      </c>
      <c r="C1288" s="1">
        <v>-0.73157184990000002</v>
      </c>
      <c r="D1288" s="1">
        <v>-0.31712231289999998</v>
      </c>
      <c r="E1288" s="1">
        <v>1.0156861515</v>
      </c>
    </row>
    <row r="1289" spans="1:5" x14ac:dyDescent="0.3">
      <c r="A1289" s="1">
        <v>1288</v>
      </c>
      <c r="B1289" s="1">
        <v>0.64230408650000004</v>
      </c>
      <c r="C1289" s="1">
        <v>-0.72175577440000005</v>
      </c>
      <c r="D1289" s="1">
        <v>-0.31286663619999999</v>
      </c>
      <c r="E1289" s="1">
        <v>1.0155646062999999</v>
      </c>
    </row>
    <row r="1290" spans="1:5" x14ac:dyDescent="0.3">
      <c r="A1290" s="1">
        <v>1289</v>
      </c>
      <c r="B1290" s="1">
        <v>0.65525701780000001</v>
      </c>
      <c r="C1290" s="1">
        <v>-0.71173574890000002</v>
      </c>
      <c r="D1290" s="1">
        <v>-0.3085225513</v>
      </c>
      <c r="E1290" s="1">
        <v>1.0154386738000001</v>
      </c>
    </row>
    <row r="1291" spans="1:5" x14ac:dyDescent="0.3">
      <c r="A1291" s="1">
        <v>1290</v>
      </c>
      <c r="B1291" s="1">
        <v>0.66802469710000001</v>
      </c>
      <c r="C1291" s="1">
        <v>-0.70151453060000002</v>
      </c>
      <c r="D1291" s="1">
        <v>-0.30409125349999999</v>
      </c>
      <c r="E1291" s="1">
        <v>1.0153083881</v>
      </c>
    </row>
    <row r="1292" spans="1:5" x14ac:dyDescent="0.3">
      <c r="A1292" s="1">
        <v>1291</v>
      </c>
      <c r="B1292" s="1">
        <v>0.68060344289999997</v>
      </c>
      <c r="C1292" s="1">
        <v>-0.69109493320000004</v>
      </c>
      <c r="D1292" s="1">
        <v>-0.29957396279999998</v>
      </c>
      <c r="E1292" s="1">
        <v>1.0151737842999999</v>
      </c>
    </row>
    <row r="1293" spans="1:5" x14ac:dyDescent="0.3">
      <c r="A1293" s="1">
        <v>1292</v>
      </c>
      <c r="B1293" s="1">
        <v>0.69298962200000003</v>
      </c>
      <c r="C1293" s="1">
        <v>-0.68047982650000005</v>
      </c>
      <c r="D1293" s="1">
        <v>-0.29497192319999999</v>
      </c>
      <c r="E1293" s="1">
        <v>1.0150348989</v>
      </c>
    </row>
    <row r="1294" spans="1:5" x14ac:dyDescent="0.3">
      <c r="A1294" s="1">
        <v>1293</v>
      </c>
      <c r="B1294" s="1">
        <v>0.70517965039999997</v>
      </c>
      <c r="C1294" s="1">
        <v>-0.669672135</v>
      </c>
      <c r="D1294" s="1">
        <v>-0.29028640259999999</v>
      </c>
      <c r="E1294" s="1">
        <v>1.0148917692999999</v>
      </c>
    </row>
    <row r="1295" spans="1:5" x14ac:dyDescent="0.3">
      <c r="A1295" s="1">
        <v>1294</v>
      </c>
      <c r="B1295" s="1">
        <v>0.71716999420000005</v>
      </c>
      <c r="C1295" s="1">
        <v>-0.65867483810000005</v>
      </c>
      <c r="D1295" s="1">
        <v>-0.28551869270000002</v>
      </c>
      <c r="E1295" s="1">
        <v>1.0147444343000001</v>
      </c>
    </row>
    <row r="1296" spans="1:5" x14ac:dyDescent="0.3">
      <c r="A1296" s="1">
        <v>1295</v>
      </c>
      <c r="B1296" s="1">
        <v>0.72895717059999998</v>
      </c>
      <c r="C1296" s="1">
        <v>-0.64749096900000003</v>
      </c>
      <c r="D1296" s="1">
        <v>-0.28067010860000002</v>
      </c>
      <c r="E1296" s="1">
        <v>1.0145929337999999</v>
      </c>
    </row>
    <row r="1297" spans="1:5" x14ac:dyDescent="0.3">
      <c r="A1297" s="1">
        <v>1296</v>
      </c>
      <c r="B1297" s="1">
        <v>0.7405377487</v>
      </c>
      <c r="C1297" s="1">
        <v>-0.63612361419999996</v>
      </c>
      <c r="D1297" s="1">
        <v>-0.27574198830000002</v>
      </c>
      <c r="E1297" s="1">
        <v>1.0144373090000001</v>
      </c>
    </row>
    <row r="1298" spans="1:5" x14ac:dyDescent="0.3">
      <c r="A1298" s="1">
        <v>1297</v>
      </c>
      <c r="B1298" s="1">
        <v>0.75190835079999996</v>
      </c>
      <c r="C1298" s="1">
        <v>-0.62457591270000001</v>
      </c>
      <c r="D1298" s="1">
        <v>-0.27073569269999997</v>
      </c>
      <c r="E1298" s="1">
        <v>1.0142776019999999</v>
      </c>
    </row>
    <row r="1299" spans="1:5" x14ac:dyDescent="0.3">
      <c r="A1299" s="1">
        <v>1298</v>
      </c>
      <c r="B1299" s="1">
        <v>0.76306565299999995</v>
      </c>
      <c r="C1299" s="1">
        <v>-0.61285105539999996</v>
      </c>
      <c r="D1299" s="1">
        <v>-0.2656526052</v>
      </c>
      <c r="E1299" s="1">
        <v>1.0141138563000001</v>
      </c>
    </row>
    <row r="1300" spans="1:5" x14ac:dyDescent="0.3">
      <c r="A1300" s="1">
        <v>1299</v>
      </c>
      <c r="B1300" s="1">
        <v>0.77400638639999997</v>
      </c>
      <c r="C1300" s="1">
        <v>-0.60095228460000005</v>
      </c>
      <c r="D1300" s="1">
        <v>-0.26049413129999999</v>
      </c>
      <c r="E1300" s="1">
        <v>1.0139461164000001</v>
      </c>
    </row>
    <row r="1301" spans="1:5" x14ac:dyDescent="0.3">
      <c r="A1301" s="1">
        <v>1300</v>
      </c>
      <c r="B1301" s="1">
        <v>0.78472733760000002</v>
      </c>
      <c r="C1301" s="1">
        <v>-0.58888289289999995</v>
      </c>
      <c r="D1301" s="1">
        <v>-0.25526169859999998</v>
      </c>
      <c r="E1301" s="1">
        <v>1.0137744279000001</v>
      </c>
    </row>
    <row r="1302" spans="1:5" x14ac:dyDescent="0.3">
      <c r="A1302" s="1">
        <v>1301</v>
      </c>
      <c r="B1302" s="1">
        <v>0.79522535009999995</v>
      </c>
      <c r="C1302" s="1">
        <v>-0.5766462228</v>
      </c>
      <c r="D1302" s="1">
        <v>-0.24995675610000001</v>
      </c>
      <c r="E1302" s="1">
        <v>1.0135988376</v>
      </c>
    </row>
    <row r="1303" spans="1:5" x14ac:dyDescent="0.3">
      <c r="A1303" s="1">
        <v>1302</v>
      </c>
      <c r="B1303" s="1">
        <v>0.80549732490000003</v>
      </c>
      <c r="C1303" s="1">
        <v>-0.56424566590000003</v>
      </c>
      <c r="D1303" s="1">
        <v>-0.24458077419999999</v>
      </c>
      <c r="E1303" s="1">
        <v>1.0134193935</v>
      </c>
    </row>
    <row r="1304" spans="1:5" x14ac:dyDescent="0.3">
      <c r="A1304" s="1">
        <v>1303</v>
      </c>
      <c r="B1304" s="1">
        <v>0.81554022169999996</v>
      </c>
      <c r="C1304" s="1">
        <v>-0.55168466189999998</v>
      </c>
      <c r="D1304" s="1">
        <v>-0.23913524410000001</v>
      </c>
      <c r="E1304" s="1">
        <v>1.0132361445</v>
      </c>
    </row>
    <row r="1305" spans="1:5" x14ac:dyDescent="0.3">
      <c r="A1305" s="1">
        <v>1304</v>
      </c>
      <c r="B1305" s="1">
        <v>0.82535105939999998</v>
      </c>
      <c r="C1305" s="1">
        <v>-0.53896669829999999</v>
      </c>
      <c r="D1305" s="1">
        <v>-0.2336216777</v>
      </c>
      <c r="E1305" s="1">
        <v>1.0130491407</v>
      </c>
    </row>
    <row r="1306" spans="1:5" x14ac:dyDescent="0.3">
      <c r="A1306" s="1">
        <v>1305</v>
      </c>
      <c r="B1306" s="1">
        <v>0.83492691720000001</v>
      </c>
      <c r="C1306" s="1">
        <v>-0.52609530920000003</v>
      </c>
      <c r="D1306" s="1">
        <v>-0.2280416072</v>
      </c>
      <c r="E1306" s="1">
        <v>1.0128584332999999</v>
      </c>
    </row>
    <row r="1307" spans="1:5" x14ac:dyDescent="0.3">
      <c r="A1307" s="1">
        <v>1306</v>
      </c>
      <c r="B1307" s="1">
        <v>0.84426493530000002</v>
      </c>
      <c r="C1307" s="1">
        <v>-0.5130740748</v>
      </c>
      <c r="D1307" s="1">
        <v>-0.2223965846</v>
      </c>
      <c r="E1307" s="1">
        <v>1.0126640746</v>
      </c>
    </row>
    <row r="1308" spans="1:5" x14ac:dyDescent="0.3">
      <c r="A1308" s="1">
        <v>1307</v>
      </c>
      <c r="B1308" s="1">
        <v>0.85336231630000003</v>
      </c>
      <c r="C1308" s="1">
        <v>-0.49990662019999998</v>
      </c>
      <c r="D1308" s="1">
        <v>-0.2166881816</v>
      </c>
      <c r="E1308" s="1">
        <v>1.0124661179000001</v>
      </c>
    </row>
    <row r="1309" spans="1:5" x14ac:dyDescent="0.3">
      <c r="A1309" s="1">
        <v>1308</v>
      </c>
      <c r="B1309" s="1">
        <v>0.86221632540000004</v>
      </c>
      <c r="C1309" s="1">
        <v>-0.48659661529999998</v>
      </c>
      <c r="D1309" s="1">
        <v>-0.21091798910000001</v>
      </c>
      <c r="E1309" s="1">
        <v>1.0122646176000001</v>
      </c>
    </row>
    <row r="1310" spans="1:5" x14ac:dyDescent="0.3">
      <c r="A1310" s="1">
        <v>1309</v>
      </c>
      <c r="B1310" s="1">
        <v>0.87082429149999996</v>
      </c>
      <c r="C1310" s="1">
        <v>-0.47314777320000001</v>
      </c>
      <c r="D1310" s="1">
        <v>-0.20508761680000001</v>
      </c>
      <c r="E1310" s="1">
        <v>1.0120596288999999</v>
      </c>
    </row>
    <row r="1311" spans="1:5" x14ac:dyDescent="0.3">
      <c r="A1311" s="1">
        <v>1310</v>
      </c>
      <c r="B1311" s="1">
        <v>0.87918360809999996</v>
      </c>
      <c r="C1311" s="1">
        <v>-0.45956384979999998</v>
      </c>
      <c r="D1311" s="1">
        <v>-0.19919869309999999</v>
      </c>
      <c r="E1311" s="1">
        <v>1.0118512085</v>
      </c>
    </row>
    <row r="1312" spans="1:5" x14ac:dyDescent="0.3">
      <c r="A1312" s="1">
        <v>1311</v>
      </c>
      <c r="B1312" s="1">
        <v>0.88729173419999996</v>
      </c>
      <c r="C1312" s="1">
        <v>-0.44584864279999997</v>
      </c>
      <c r="D1312" s="1">
        <v>-0.19325286429999999</v>
      </c>
      <c r="E1312" s="1">
        <v>1.0116394137</v>
      </c>
    </row>
    <row r="1313" spans="1:5" x14ac:dyDescent="0.3">
      <c r="A1313" s="1">
        <v>1312</v>
      </c>
      <c r="B1313" s="1">
        <v>0.89514619480000002</v>
      </c>
      <c r="C1313" s="1">
        <v>-0.43200599090000003</v>
      </c>
      <c r="D1313" s="1">
        <v>-0.18725179450000001</v>
      </c>
      <c r="E1313" s="1">
        <v>1.0114243030000001</v>
      </c>
    </row>
    <row r="1314" spans="1:5" x14ac:dyDescent="0.3">
      <c r="A1314" s="1">
        <v>1313</v>
      </c>
      <c r="B1314" s="1">
        <v>0.90274458199999996</v>
      </c>
      <c r="C1314" s="1">
        <v>-0.41803977279999999</v>
      </c>
      <c r="D1314" s="1">
        <v>-0.18119716529999999</v>
      </c>
      <c r="E1314" s="1">
        <v>1.0112059359000001</v>
      </c>
    </row>
    <row r="1315" spans="1:5" x14ac:dyDescent="0.3">
      <c r="A1315" s="1">
        <v>1314</v>
      </c>
      <c r="B1315" s="1">
        <v>0.91008455580000003</v>
      </c>
      <c r="C1315" s="1">
        <v>-0.40395390650000002</v>
      </c>
      <c r="D1315" s="1">
        <v>-0.17509067519999999</v>
      </c>
      <c r="E1315" s="1">
        <v>1.0109843727000001</v>
      </c>
    </row>
    <row r="1316" spans="1:5" x14ac:dyDescent="0.3">
      <c r="A1316" s="1">
        <v>1315</v>
      </c>
      <c r="B1316" s="1">
        <v>0.9171638446</v>
      </c>
      <c r="C1316" s="1">
        <v>-0.38975234809999998</v>
      </c>
      <c r="D1316" s="1">
        <v>-0.16893403930000001</v>
      </c>
      <c r="E1316" s="1">
        <v>1.0107596749000001</v>
      </c>
    </row>
    <row r="1317" spans="1:5" x14ac:dyDescent="0.3">
      <c r="A1317" s="1">
        <v>1316</v>
      </c>
      <c r="B1317" s="1">
        <v>0.92398024629999997</v>
      </c>
      <c r="C1317" s="1">
        <v>-0.37543909110000001</v>
      </c>
      <c r="D1317" s="1">
        <v>-0.16272898890000001</v>
      </c>
      <c r="E1317" s="1">
        <v>1.0105319048000001</v>
      </c>
    </row>
    <row r="1318" spans="1:5" x14ac:dyDescent="0.3">
      <c r="A1318" s="1">
        <v>1317</v>
      </c>
      <c r="B1318" s="1">
        <v>0.93053162889999996</v>
      </c>
      <c r="C1318" s="1">
        <v>-0.36101816539999998</v>
      </c>
      <c r="D1318" s="1">
        <v>-0.15647727089999999</v>
      </c>
      <c r="E1318" s="1">
        <v>1.0103011256000001</v>
      </c>
    </row>
    <row r="1319" spans="1:5" x14ac:dyDescent="0.3">
      <c r="A1319" s="1">
        <v>1318</v>
      </c>
      <c r="B1319" s="1">
        <v>0.93681593119999995</v>
      </c>
      <c r="C1319" s="1">
        <v>-0.34649363640000003</v>
      </c>
      <c r="D1319" s="1">
        <v>-0.1501806477</v>
      </c>
      <c r="E1319" s="1">
        <v>1.0100674017</v>
      </c>
    </row>
    <row r="1320" spans="1:5" x14ac:dyDescent="0.3">
      <c r="A1320" s="1">
        <v>1319</v>
      </c>
      <c r="B1320" s="1">
        <v>0.94283116359999997</v>
      </c>
      <c r="C1320" s="1">
        <v>-0.33186960389999998</v>
      </c>
      <c r="D1320" s="1">
        <v>-0.14384089680000001</v>
      </c>
      <c r="E1320" s="1">
        <v>1.0098307981000001</v>
      </c>
    </row>
    <row r="1321" spans="1:5" x14ac:dyDescent="0.3">
      <c r="A1321" s="1">
        <v>1320</v>
      </c>
      <c r="B1321" s="1">
        <v>0.94857540910000004</v>
      </c>
      <c r="C1321" s="1">
        <v>-0.31715020109999997</v>
      </c>
      <c r="D1321" s="1">
        <v>-0.13745980999999999</v>
      </c>
      <c r="E1321" s="1">
        <v>1.0095913807000001</v>
      </c>
    </row>
    <row r="1322" spans="1:5" x14ac:dyDescent="0.3">
      <c r="A1322" s="1">
        <v>1321</v>
      </c>
      <c r="B1322" s="1">
        <v>0.95404682330000001</v>
      </c>
      <c r="C1322" s="1">
        <v>-0.30233959379999997</v>
      </c>
      <c r="D1322" s="1">
        <v>-0.13103919310000001</v>
      </c>
      <c r="E1322" s="1">
        <v>1.0093492166</v>
      </c>
    </row>
    <row r="1323" spans="1:5" x14ac:dyDescent="0.3">
      <c r="A1323" s="1">
        <v>1322</v>
      </c>
      <c r="B1323" s="1">
        <v>0.95924363589999995</v>
      </c>
      <c r="C1323" s="1">
        <v>-0.28744197919999998</v>
      </c>
      <c r="D1323" s="1">
        <v>-0.1245808657</v>
      </c>
      <c r="E1323" s="1">
        <v>1.0091043735</v>
      </c>
    </row>
    <row r="1324" spans="1:5" x14ac:dyDescent="0.3">
      <c r="A1324" s="1">
        <v>1323</v>
      </c>
      <c r="B1324" s="1">
        <v>0.96416415099999997</v>
      </c>
      <c r="C1324" s="1">
        <v>-0.27246158510000001</v>
      </c>
      <c r="D1324" s="1">
        <v>-0.1180866607</v>
      </c>
      <c r="E1324" s="1">
        <v>1.0088569199999999</v>
      </c>
    </row>
    <row r="1325" spans="1:5" x14ac:dyDescent="0.3">
      <c r="A1325" s="1">
        <v>1324</v>
      </c>
      <c r="B1325" s="1">
        <v>0.96880674769999997</v>
      </c>
      <c r="C1325" s="1">
        <v>-0.25740266849999999</v>
      </c>
      <c r="D1325" s="1">
        <v>-0.1115584236</v>
      </c>
      <c r="E1325" s="1">
        <v>1.0086069254000001</v>
      </c>
    </row>
    <row r="1326" spans="1:5" x14ac:dyDescent="0.3">
      <c r="A1326" s="1">
        <v>1325</v>
      </c>
      <c r="B1326" s="1">
        <v>0.9731698808</v>
      </c>
      <c r="C1326" s="1">
        <v>-0.24226951499999999</v>
      </c>
      <c r="D1326" s="1">
        <v>-0.1049980121</v>
      </c>
      <c r="E1326" s="1">
        <v>1.0083544602000001</v>
      </c>
    </row>
    <row r="1327" spans="1:5" x14ac:dyDescent="0.3">
      <c r="A1327" s="1">
        <v>1326</v>
      </c>
      <c r="B1327" s="1">
        <v>0.9772520817</v>
      </c>
      <c r="C1327" s="1">
        <v>-0.2270664372</v>
      </c>
      <c r="D1327" s="1">
        <v>-9.8407295899999997E-2</v>
      </c>
      <c r="E1327" s="1">
        <v>1.0080995953</v>
      </c>
    </row>
    <row r="1328" spans="1:5" x14ac:dyDescent="0.3">
      <c r="A1328" s="1">
        <v>1327</v>
      </c>
      <c r="B1328" s="1">
        <v>0.98105195869999995</v>
      </c>
      <c r="C1328" s="1">
        <v>-0.2117977741</v>
      </c>
      <c r="D1328" s="1">
        <v>-9.1788155999999996E-2</v>
      </c>
      <c r="E1328" s="1">
        <v>1.0078424025999999</v>
      </c>
    </row>
    <row r="1329" spans="1:5" x14ac:dyDescent="0.3">
      <c r="A1329" s="1">
        <v>1328</v>
      </c>
      <c r="B1329" s="1">
        <v>0.98456819780000004</v>
      </c>
      <c r="C1329" s="1">
        <v>-0.19646788979999999</v>
      </c>
      <c r="D1329" s="1">
        <v>-8.5142484300000001E-2</v>
      </c>
      <c r="E1329" s="1">
        <v>1.0075829546999999</v>
      </c>
    </row>
    <row r="1330" spans="1:5" x14ac:dyDescent="0.3">
      <c r="A1330" s="1">
        <v>1329</v>
      </c>
      <c r="B1330" s="1">
        <v>0.98779956319999995</v>
      </c>
      <c r="C1330" s="1">
        <v>-0.1810811725</v>
      </c>
      <c r="D1330" s="1">
        <v>-7.8472183099999995E-2</v>
      </c>
      <c r="E1330" s="1">
        <v>1.0073213248999999</v>
      </c>
    </row>
    <row r="1331" spans="1:5" x14ac:dyDescent="0.3">
      <c r="A1331" s="1">
        <v>1330</v>
      </c>
      <c r="B1331" s="1">
        <v>0.99074489799999998</v>
      </c>
      <c r="C1331" s="1">
        <v>-0.16564203320000001</v>
      </c>
      <c r="D1331" s="1">
        <v>-7.1779164600000001E-2</v>
      </c>
      <c r="E1331" s="1">
        <v>1.0070575875000001</v>
      </c>
    </row>
    <row r="1332" spans="1:5" x14ac:dyDescent="0.3">
      <c r="A1332" s="1">
        <v>1331</v>
      </c>
      <c r="B1332" s="1">
        <v>0.99340312450000001</v>
      </c>
      <c r="C1332" s="1">
        <v>-0.1501549046</v>
      </c>
      <c r="D1332" s="1">
        <v>-6.5065350499999994E-2</v>
      </c>
      <c r="E1332" s="1">
        <v>1.0067918171000001</v>
      </c>
    </row>
    <row r="1333" spans="1:5" x14ac:dyDescent="0.3">
      <c r="A1333" s="1">
        <v>1332</v>
      </c>
      <c r="B1333" s="1">
        <v>0.99577324509999998</v>
      </c>
      <c r="C1333" s="1">
        <v>-0.13462424009999999</v>
      </c>
      <c r="D1333" s="1">
        <v>-5.83326713E-2</v>
      </c>
      <c r="E1333" s="1">
        <v>1.0065240893</v>
      </c>
    </row>
    <row r="1334" spans="1:5" x14ac:dyDescent="0.3">
      <c r="A1334" s="1">
        <v>1333</v>
      </c>
      <c r="B1334" s="1">
        <v>0.99785434279999996</v>
      </c>
      <c r="C1334" s="1">
        <v>-0.1190545127</v>
      </c>
      <c r="D1334" s="1">
        <v>-5.15830662E-2</v>
      </c>
      <c r="E1334" s="1">
        <v>1.0062544803</v>
      </c>
    </row>
    <row r="1335" spans="1:5" x14ac:dyDescent="0.3">
      <c r="A1335" s="1">
        <v>1334</v>
      </c>
      <c r="B1335" s="1">
        <v>0.99964558110000001</v>
      </c>
      <c r="C1335" s="1">
        <v>-0.1034502133</v>
      </c>
      <c r="D1335" s="1">
        <v>-4.4818482E-2</v>
      </c>
      <c r="E1335" s="1">
        <v>1.0059830669000001</v>
      </c>
    </row>
    <row r="1336" spans="1:5" x14ac:dyDescent="0.3">
      <c r="A1336" s="1">
        <v>1335</v>
      </c>
      <c r="B1336" s="1">
        <v>1.0011462056</v>
      </c>
      <c r="C1336" s="1">
        <v>-8.7815850400000006E-2</v>
      </c>
      <c r="D1336" s="1">
        <v>-3.8040873199999999E-2</v>
      </c>
      <c r="E1336" s="1">
        <v>1.0057099266</v>
      </c>
    </row>
    <row r="1337" spans="1:5" x14ac:dyDescent="0.3">
      <c r="A1337" s="1">
        <v>1336</v>
      </c>
      <c r="B1337" s="1">
        <v>1.0023555432</v>
      </c>
      <c r="C1337" s="1">
        <v>-7.2155948100000006E-2</v>
      </c>
      <c r="D1337" s="1">
        <v>-3.1252201E-2</v>
      </c>
      <c r="E1337" s="1">
        <v>1.0054351375999999</v>
      </c>
    </row>
    <row r="1338" spans="1:5" x14ac:dyDescent="0.3">
      <c r="A1338" s="1">
        <v>1337</v>
      </c>
      <c r="B1338" s="1">
        <v>1.0032730036999999</v>
      </c>
      <c r="C1338" s="1">
        <v>-5.6475045199999997E-2</v>
      </c>
      <c r="D1338" s="1">
        <v>-2.4454433000000001E-2</v>
      </c>
      <c r="E1338" s="1">
        <v>1.0051587785</v>
      </c>
    </row>
    <row r="1339" spans="1:5" x14ac:dyDescent="0.3">
      <c r="A1339" s="1">
        <v>1338</v>
      </c>
      <c r="B1339" s="1">
        <v>1.0038980795000001</v>
      </c>
      <c r="C1339" s="1">
        <v>-4.0777694000000003E-2</v>
      </c>
      <c r="D1339" s="1">
        <v>-1.76495427E-2</v>
      </c>
      <c r="E1339" s="1">
        <v>1.0048809286</v>
      </c>
    </row>
    <row r="1340" spans="1:5" x14ac:dyDescent="0.3">
      <c r="A1340" s="1">
        <v>1339</v>
      </c>
      <c r="B1340" s="1">
        <v>1.0042303462</v>
      </c>
      <c r="C1340" s="1">
        <v>-2.5068459299999998E-2</v>
      </c>
      <c r="D1340" s="1">
        <v>-1.0839508899999999E-2</v>
      </c>
      <c r="E1340" s="1">
        <v>1.0046016678</v>
      </c>
    </row>
    <row r="1341" spans="1:5" x14ac:dyDescent="0.3">
      <c r="A1341" s="1">
        <v>1340</v>
      </c>
      <c r="B1341" s="1">
        <v>1.0042694634</v>
      </c>
      <c r="C1341" s="1">
        <v>-9.3519164999999998E-3</v>
      </c>
      <c r="D1341" s="1">
        <v>-4.0263152E-3</v>
      </c>
      <c r="E1341" s="1">
        <v>1.0043210763999999</v>
      </c>
    </row>
    <row r="1342" spans="1:5" x14ac:dyDescent="0.3">
      <c r="A1342" s="1">
        <v>1341</v>
      </c>
      <c r="B1342" s="1">
        <v>1.0040151742000001</v>
      </c>
      <c r="C1342" s="1">
        <v>6.3673489E-3</v>
      </c>
      <c r="D1342" s="1">
        <v>2.7880508000000001E-3</v>
      </c>
      <c r="E1342" s="1">
        <v>1.0040392355000001</v>
      </c>
    </row>
    <row r="1343" spans="1:5" x14ac:dyDescent="0.3">
      <c r="A1343" s="1">
        <v>1342</v>
      </c>
      <c r="B1343" s="1">
        <v>1.0034673064999999</v>
      </c>
      <c r="C1343" s="1">
        <v>2.20847432E-2</v>
      </c>
      <c r="D1343" s="1">
        <v>9.6015974E-3</v>
      </c>
      <c r="E1343" s="1">
        <v>1.0037562262999999</v>
      </c>
    </row>
    <row r="1344" spans="1:5" x14ac:dyDescent="0.3">
      <c r="A1344" s="1">
        <v>1343</v>
      </c>
      <c r="B1344" s="1">
        <v>1.0026257728000001</v>
      </c>
      <c r="C1344" s="1">
        <v>3.7795665399999998E-2</v>
      </c>
      <c r="D1344" s="1">
        <v>1.6412330199999998E-2</v>
      </c>
      <c r="E1344" s="1">
        <v>1.0034721307000001</v>
      </c>
    </row>
    <row r="1345" spans="1:5" x14ac:dyDescent="0.3">
      <c r="A1345" s="1">
        <v>1344</v>
      </c>
      <c r="B1345" s="1">
        <v>1.0014905705999999</v>
      </c>
      <c r="C1345" s="1">
        <v>5.3495508400000003E-2</v>
      </c>
      <c r="D1345" s="1">
        <v>2.3218252000000002E-2</v>
      </c>
      <c r="E1345" s="1">
        <v>1.0031870312</v>
      </c>
    </row>
    <row r="1346" spans="1:5" x14ac:dyDescent="0.3">
      <c r="A1346" s="1">
        <v>1345</v>
      </c>
      <c r="B1346" s="1">
        <v>1.0000617827</v>
      </c>
      <c r="C1346" s="1">
        <v>6.9179660800000001E-2</v>
      </c>
      <c r="D1346" s="1">
        <v>3.0017363799999999E-2</v>
      </c>
      <c r="E1346" s="1">
        <v>1.0029010105</v>
      </c>
    </row>
    <row r="1347" spans="1:5" x14ac:dyDescent="0.3">
      <c r="A1347" s="1">
        <v>1346</v>
      </c>
      <c r="B1347" s="1">
        <v>0.99833957760000003</v>
      </c>
      <c r="C1347" s="1">
        <v>8.4843507700000001E-2</v>
      </c>
      <c r="D1347" s="1">
        <v>3.6807664900000002E-2</v>
      </c>
      <c r="E1347" s="1">
        <v>1.0026141517</v>
      </c>
    </row>
    <row r="1348" spans="1:5" x14ac:dyDescent="0.3">
      <c r="A1348" s="1">
        <v>1347</v>
      </c>
      <c r="B1348" s="1">
        <v>0.9963242095</v>
      </c>
      <c r="C1348" s="1">
        <v>0.10048243229999999</v>
      </c>
      <c r="D1348" s="1">
        <v>4.3587154000000003E-2</v>
      </c>
      <c r="E1348" s="1">
        <v>1.0023265384</v>
      </c>
    </row>
    <row r="1349" spans="1:5" x14ac:dyDescent="0.3">
      <c r="A1349" s="1">
        <v>1348</v>
      </c>
      <c r="B1349" s="1">
        <v>0.9940160187</v>
      </c>
      <c r="C1349" s="1">
        <v>0.116091817</v>
      </c>
      <c r="D1349" s="1">
        <v>5.03538293E-2</v>
      </c>
      <c r="E1349" s="1">
        <v>1.0020382544999999</v>
      </c>
    </row>
    <row r="1350" spans="1:5" x14ac:dyDescent="0.3">
      <c r="A1350" s="1">
        <v>1349</v>
      </c>
      <c r="B1350" s="1">
        <v>0.99141543190000003</v>
      </c>
      <c r="C1350" s="1">
        <v>0.13166704530000001</v>
      </c>
      <c r="D1350" s="1">
        <v>5.7105689500000001E-2</v>
      </c>
      <c r="E1350" s="1">
        <v>1.0017493844000001</v>
      </c>
    </row>
    <row r="1351" spans="1:5" x14ac:dyDescent="0.3">
      <c r="A1351" s="1">
        <v>1350</v>
      </c>
      <c r="B1351" s="1">
        <v>0.98852296210000001</v>
      </c>
      <c r="C1351" s="1">
        <v>0.1472035022</v>
      </c>
      <c r="D1351" s="1">
        <v>6.3840734100000004E-2</v>
      </c>
      <c r="E1351" s="1">
        <v>1.0014600127</v>
      </c>
    </row>
    <row r="1352" spans="1:5" x14ac:dyDescent="0.3">
      <c r="A1352" s="1">
        <v>1351</v>
      </c>
      <c r="B1352" s="1">
        <v>0.98533920880000003</v>
      </c>
      <c r="C1352" s="1">
        <v>0.1626965765</v>
      </c>
      <c r="D1352" s="1">
        <v>7.0556964099999994E-2</v>
      </c>
      <c r="E1352" s="1">
        <v>1.0011702241</v>
      </c>
    </row>
    <row r="1353" spans="1:5" x14ac:dyDescent="0.3">
      <c r="A1353" s="1">
        <v>1352</v>
      </c>
      <c r="B1353" s="1">
        <v>0.98186485830000003</v>
      </c>
      <c r="C1353" s="1">
        <v>0.1781416616</v>
      </c>
      <c r="D1353" s="1">
        <v>7.7252382499999994E-2</v>
      </c>
      <c r="E1353" s="1">
        <v>1.0008801037999999</v>
      </c>
    </row>
    <row r="1354" spans="1:5" x14ac:dyDescent="0.3">
      <c r="A1354" s="1">
        <v>1353</v>
      </c>
      <c r="B1354" s="1">
        <v>0.97810068390000005</v>
      </c>
      <c r="C1354" s="1">
        <v>0.19353415709999999</v>
      </c>
      <c r="D1354" s="1">
        <v>8.3924995099999997E-2</v>
      </c>
      <c r="E1354" s="1">
        <v>1.0005897373999999</v>
      </c>
    </row>
    <row r="1355" spans="1:5" x14ac:dyDescent="0.3">
      <c r="A1355" s="1">
        <v>1354</v>
      </c>
      <c r="B1355" s="1">
        <v>0.97404754530000004</v>
      </c>
      <c r="C1355" s="1">
        <v>0.20886947</v>
      </c>
      <c r="D1355" s="1">
        <v>9.0572810700000006E-2</v>
      </c>
      <c r="E1355" s="1">
        <v>1.0002992102999999</v>
      </c>
    </row>
    <row r="1356" spans="1:5" x14ac:dyDescent="0.3">
      <c r="A1356" s="1">
        <v>1355</v>
      </c>
      <c r="B1356" s="1">
        <v>0.9697063896</v>
      </c>
      <c r="C1356" s="1">
        <v>0.22414301640000001</v>
      </c>
      <c r="D1356" s="1">
        <v>9.71938423E-2</v>
      </c>
      <c r="E1356" s="1">
        <v>1.0000086083999999</v>
      </c>
    </row>
    <row r="1357" spans="1:5" x14ac:dyDescent="0.3">
      <c r="A1357" s="1">
        <v>1356</v>
      </c>
      <c r="B1357" s="1">
        <v>0.96507825059999996</v>
      </c>
      <c r="C1357" s="1">
        <v>0.23935022249999999</v>
      </c>
      <c r="D1357" s="1">
        <v>0.10378610720000001</v>
      </c>
      <c r="E1357" s="1">
        <v>0.99971801770000002</v>
      </c>
    </row>
    <row r="1358" spans="1:5" x14ac:dyDescent="0.3">
      <c r="A1358" s="1">
        <v>1357</v>
      </c>
      <c r="B1358" s="1">
        <v>0.96016424919999999</v>
      </c>
      <c r="C1358" s="1">
        <v>0.25448652640000002</v>
      </c>
      <c r="D1358" s="1">
        <v>0.11034762770000001</v>
      </c>
      <c r="E1358" s="1">
        <v>0.99942752430000004</v>
      </c>
    </row>
    <row r="1359" spans="1:5" x14ac:dyDescent="0.3">
      <c r="A1359" s="1">
        <v>1358</v>
      </c>
      <c r="B1359" s="1">
        <v>0.95496559290000005</v>
      </c>
      <c r="C1359" s="1">
        <v>0.26954737919999999</v>
      </c>
      <c r="D1359" s="1">
        <v>0.116876432</v>
      </c>
      <c r="E1359" s="1">
        <v>0.99913721460000005</v>
      </c>
    </row>
    <row r="1360" spans="1:5" x14ac:dyDescent="0.3">
      <c r="A1360" s="1">
        <v>1359</v>
      </c>
      <c r="B1360" s="1">
        <v>0.94948357640000003</v>
      </c>
      <c r="C1360" s="1">
        <v>0.28452824650000003</v>
      </c>
      <c r="D1360" s="1">
        <v>0.1233705543</v>
      </c>
      <c r="E1360" s="1">
        <v>0.99884717479999996</v>
      </c>
    </row>
    <row r="1361" spans="1:5" x14ac:dyDescent="0.3">
      <c r="A1361" s="1">
        <v>1360</v>
      </c>
      <c r="B1361" s="1">
        <v>0.94371958089999997</v>
      </c>
      <c r="C1361" s="1">
        <v>0.29942461009999999</v>
      </c>
      <c r="D1361" s="1">
        <v>0.12982803609999999</v>
      </c>
      <c r="E1361" s="1">
        <v>0.99855749130000004</v>
      </c>
    </row>
    <row r="1362" spans="1:5" x14ac:dyDescent="0.3">
      <c r="A1362" s="1">
        <v>1361</v>
      </c>
      <c r="B1362" s="1">
        <v>0.93767507449999998</v>
      </c>
      <c r="C1362" s="1">
        <v>0.31423196889999999</v>
      </c>
      <c r="D1362" s="1">
        <v>0.13624692620000001</v>
      </c>
      <c r="E1362" s="1">
        <v>0.99826825080000003</v>
      </c>
    </row>
    <row r="1363" spans="1:5" x14ac:dyDescent="0.3">
      <c r="A1363" s="1">
        <v>1362</v>
      </c>
      <c r="B1363" s="1">
        <v>0.93135161150000001</v>
      </c>
      <c r="C1363" s="1">
        <v>0.32894584069999999</v>
      </c>
      <c r="D1363" s="1">
        <v>0.14262528150000001</v>
      </c>
      <c r="E1363" s="1">
        <v>0.99797953949999996</v>
      </c>
    </row>
    <row r="1364" spans="1:5" x14ac:dyDescent="0.3">
      <c r="A1364" s="1">
        <v>1363</v>
      </c>
      <c r="B1364" s="1">
        <v>0.92475083280000003</v>
      </c>
      <c r="C1364" s="1">
        <v>0.34356176360000001</v>
      </c>
      <c r="D1364" s="1">
        <v>0.14896116779999999</v>
      </c>
      <c r="E1364" s="1">
        <v>0.99769144409999999</v>
      </c>
    </row>
    <row r="1365" spans="1:5" x14ac:dyDescent="0.3">
      <c r="A1365" s="1">
        <v>1364</v>
      </c>
      <c r="B1365" s="1">
        <v>0.91787446510000004</v>
      </c>
      <c r="C1365" s="1">
        <v>0.35807529739999999</v>
      </c>
      <c r="D1365" s="1">
        <v>0.15525266039999999</v>
      </c>
      <c r="E1365" s="1">
        <v>0.99740405089999995</v>
      </c>
    </row>
    <row r="1366" spans="1:5" x14ac:dyDescent="0.3">
      <c r="A1366" s="1">
        <v>1365</v>
      </c>
      <c r="B1366" s="1">
        <v>0.91072432140000004</v>
      </c>
      <c r="C1366" s="1">
        <v>0.37248202470000003</v>
      </c>
      <c r="D1366" s="1">
        <v>0.1614978443</v>
      </c>
      <c r="E1366" s="1">
        <v>0.9971174464</v>
      </c>
    </row>
    <row r="1367" spans="1:5" x14ac:dyDescent="0.3">
      <c r="A1367" s="1">
        <v>1366</v>
      </c>
      <c r="B1367" s="1">
        <v>0.90330229989999999</v>
      </c>
      <c r="C1367" s="1">
        <v>0.38677755320000001</v>
      </c>
      <c r="D1367" s="1">
        <v>0.1676948154</v>
      </c>
      <c r="E1367" s="1">
        <v>0.99683171690000005</v>
      </c>
    </row>
    <row r="1368" spans="1:5" x14ac:dyDescent="0.3">
      <c r="A1368" s="1">
        <v>1367</v>
      </c>
      <c r="B1368" s="1">
        <v>0.89561038449999997</v>
      </c>
      <c r="C1368" s="1">
        <v>0.40095751600000001</v>
      </c>
      <c r="D1368" s="1">
        <v>0.17384168089999999</v>
      </c>
      <c r="E1368" s="1">
        <v>0.99654694850000003</v>
      </c>
    </row>
    <row r="1369" spans="1:5" x14ac:dyDescent="0.3">
      <c r="A1369" s="1">
        <v>1368</v>
      </c>
      <c r="B1369" s="1">
        <v>0.88765064380000003</v>
      </c>
      <c r="C1369" s="1">
        <v>0.41501757420000002</v>
      </c>
      <c r="D1369" s="1">
        <v>0.17993655980000001</v>
      </c>
      <c r="E1369" s="1">
        <v>0.99626322720000005</v>
      </c>
    </row>
    <row r="1370" spans="1:5" x14ac:dyDescent="0.3">
      <c r="A1370" s="1">
        <v>1369</v>
      </c>
      <c r="B1370" s="1">
        <v>0.87942523120000005</v>
      </c>
      <c r="C1370" s="1">
        <v>0.42895341739999998</v>
      </c>
      <c r="D1370" s="1">
        <v>0.1859775836</v>
      </c>
      <c r="E1370" s="1">
        <v>0.995980639</v>
      </c>
    </row>
    <row r="1371" spans="1:5" x14ac:dyDescent="0.3">
      <c r="A1371" s="1">
        <v>1370</v>
      </c>
      <c r="B1371" s="1">
        <v>0.87093638449999999</v>
      </c>
      <c r="C1371" s="1">
        <v>0.4427607657</v>
      </c>
      <c r="D1371" s="1">
        <v>0.19196289690000001</v>
      </c>
      <c r="E1371" s="1">
        <v>0.99569926939999998</v>
      </c>
    </row>
    <row r="1372" spans="1:5" x14ac:dyDescent="0.3">
      <c r="A1372" s="1">
        <v>1371</v>
      </c>
      <c r="B1372" s="1">
        <v>0.86218642499999998</v>
      </c>
      <c r="C1372" s="1">
        <v>0.45643537090000003</v>
      </c>
      <c r="D1372" s="1">
        <v>0.19789065829999999</v>
      </c>
      <c r="E1372" s="1">
        <v>0.99541920409999995</v>
      </c>
    </row>
    <row r="1373" spans="1:5" x14ac:dyDescent="0.3">
      <c r="A1373" s="1">
        <v>1372</v>
      </c>
      <c r="B1373" s="1">
        <v>0.85317775780000005</v>
      </c>
      <c r="C1373" s="1">
        <v>0.46997301800000002</v>
      </c>
      <c r="D1373" s="1">
        <v>0.20375904049999999</v>
      </c>
      <c r="E1373" s="1">
        <v>0.99514052799999997</v>
      </c>
    </row>
    <row r="1374" spans="1:5" x14ac:dyDescent="0.3">
      <c r="A1374" s="1">
        <v>1373</v>
      </c>
      <c r="B1374" s="1">
        <v>0.84391287059999998</v>
      </c>
      <c r="C1374" s="1">
        <v>0.4833695267</v>
      </c>
      <c r="D1374" s="1">
        <v>0.20956623160000001</v>
      </c>
      <c r="E1374" s="1">
        <v>0.99486332629999996</v>
      </c>
    </row>
    <row r="1375" spans="1:5" x14ac:dyDescent="0.3">
      <c r="A1375" s="1">
        <v>1374</v>
      </c>
      <c r="B1375" s="1">
        <v>0.83439433380000005</v>
      </c>
      <c r="C1375" s="1">
        <v>0.49662075300000003</v>
      </c>
      <c r="D1375" s="1">
        <v>0.21531043499999999</v>
      </c>
      <c r="E1375" s="1">
        <v>0.99458768340000003</v>
      </c>
    </row>
    <row r="1376" spans="1:5" x14ac:dyDescent="0.3">
      <c r="A1376" s="1">
        <v>1375</v>
      </c>
      <c r="B1376" s="1">
        <v>0.8246247994</v>
      </c>
      <c r="C1376" s="1">
        <v>0.50972258989999997</v>
      </c>
      <c r="D1376" s="1">
        <v>0.22098987049999999</v>
      </c>
      <c r="E1376" s="1">
        <v>0.99431368360000005</v>
      </c>
    </row>
    <row r="1377" spans="1:5" x14ac:dyDescent="0.3">
      <c r="A1377" s="1">
        <v>1376</v>
      </c>
      <c r="B1377" s="1">
        <v>0.81460700100000005</v>
      </c>
      <c r="C1377" s="1">
        <v>0.52267096989999995</v>
      </c>
      <c r="D1377" s="1">
        <v>0.2266027749</v>
      </c>
      <c r="E1377" s="1">
        <v>0.99404141079999997</v>
      </c>
    </row>
    <row r="1378" spans="1:5" x14ac:dyDescent="0.3">
      <c r="A1378" s="1">
        <v>1377</v>
      </c>
      <c r="B1378" s="1">
        <v>0.80434375270000003</v>
      </c>
      <c r="C1378" s="1">
        <v>0.53546186559999998</v>
      </c>
      <c r="D1378" s="1">
        <v>0.2321474023</v>
      </c>
      <c r="E1378" s="1">
        <v>0.99377094870000005</v>
      </c>
    </row>
    <row r="1379" spans="1:5" x14ac:dyDescent="0.3">
      <c r="A1379" s="1">
        <v>1378</v>
      </c>
      <c r="B1379" s="1">
        <v>0.79383794860000001</v>
      </c>
      <c r="C1379" s="1">
        <v>0.54809129140000001</v>
      </c>
      <c r="D1379" s="1">
        <v>0.2376220252</v>
      </c>
      <c r="E1379" s="1">
        <v>0.99350238010000003</v>
      </c>
    </row>
    <row r="1380" spans="1:5" x14ac:dyDescent="0.3">
      <c r="A1380" s="1">
        <v>1379</v>
      </c>
      <c r="B1380" s="1">
        <v>0.78309256250000003</v>
      </c>
      <c r="C1380" s="1">
        <v>0.56055530509999996</v>
      </c>
      <c r="D1380" s="1">
        <v>0.2430249344</v>
      </c>
      <c r="E1380" s="1">
        <v>0.9932357879</v>
      </c>
    </row>
    <row r="1381" spans="1:5" x14ac:dyDescent="0.3">
      <c r="A1381" s="1">
        <v>1380</v>
      </c>
      <c r="B1381" s="1">
        <v>0.77211064650000005</v>
      </c>
      <c r="C1381" s="1">
        <v>0.57285000900000005</v>
      </c>
      <c r="D1381" s="1">
        <v>0.2483544405</v>
      </c>
      <c r="E1381" s="1">
        <v>0.99297125409999998</v>
      </c>
    </row>
    <row r="1382" spans="1:5" x14ac:dyDescent="0.3">
      <c r="A1382" s="1">
        <v>1381</v>
      </c>
      <c r="B1382" s="1">
        <v>0.76089533099999995</v>
      </c>
      <c r="C1382" s="1">
        <v>0.5849715513</v>
      </c>
      <c r="D1382" s="1">
        <v>0.25360887389999998</v>
      </c>
      <c r="E1382" s="1">
        <v>0.99270886039999995</v>
      </c>
    </row>
    <row r="1383" spans="1:5" x14ac:dyDescent="0.3">
      <c r="A1383" s="1">
        <v>1382</v>
      </c>
      <c r="B1383" s="1">
        <v>0.74944982329999998</v>
      </c>
      <c r="C1383" s="1">
        <v>0.59691612790000004</v>
      </c>
      <c r="D1383" s="1">
        <v>0.2587865855</v>
      </c>
      <c r="E1383" s="1">
        <v>0.99244868799999997</v>
      </c>
    </row>
    <row r="1384" spans="1:5" x14ac:dyDescent="0.3">
      <c r="A1384" s="1">
        <v>1383</v>
      </c>
      <c r="B1384" s="1">
        <v>0.73777740729999997</v>
      </c>
      <c r="C1384" s="1">
        <v>0.60867998339999996</v>
      </c>
      <c r="D1384" s="1">
        <v>0.26388594729999998</v>
      </c>
      <c r="E1384" s="1">
        <v>0.99219081740000004</v>
      </c>
    </row>
    <row r="1385" spans="1:5" x14ac:dyDescent="0.3">
      <c r="A1385" s="1">
        <v>1384</v>
      </c>
      <c r="B1385" s="1">
        <v>0.72588144229999996</v>
      </c>
      <c r="C1385" s="1">
        <v>0.62025941250000005</v>
      </c>
      <c r="D1385" s="1">
        <v>0.26890535329999998</v>
      </c>
      <c r="E1385" s="1">
        <v>0.9919353286</v>
      </c>
    </row>
    <row r="1386" spans="1:5" x14ac:dyDescent="0.3">
      <c r="A1386" s="1">
        <v>1385</v>
      </c>
      <c r="B1386" s="1">
        <v>0.71376536239999999</v>
      </c>
      <c r="C1386" s="1">
        <v>0.63165076149999999</v>
      </c>
      <c r="D1386" s="1">
        <v>0.27384321969999997</v>
      </c>
      <c r="E1386" s="1">
        <v>0.99168230099999999</v>
      </c>
    </row>
    <row r="1387" spans="1:5" x14ac:dyDescent="0.3">
      <c r="A1387" s="1">
        <v>1386</v>
      </c>
      <c r="B1387" s="1">
        <v>0.7014326756</v>
      </c>
      <c r="C1387" s="1">
        <v>0.64285042969999995</v>
      </c>
      <c r="D1387" s="1">
        <v>0.27869798550000002</v>
      </c>
      <c r="E1387" s="1">
        <v>0.99143181329999996</v>
      </c>
    </row>
    <row r="1388" spans="1:5" x14ac:dyDescent="0.3">
      <c r="A1388" s="1">
        <v>1387</v>
      </c>
      <c r="B1388" s="1">
        <v>0.68888696240000002</v>
      </c>
      <c r="C1388" s="1">
        <v>0.65385487050000002</v>
      </c>
      <c r="D1388" s="1">
        <v>0.28346811350000001</v>
      </c>
      <c r="E1388" s="1">
        <v>0.99118394350000005</v>
      </c>
    </row>
    <row r="1389" spans="1:5" x14ac:dyDescent="0.3">
      <c r="A1389" s="1">
        <v>1388</v>
      </c>
      <c r="B1389" s="1">
        <v>0.67613187549999998</v>
      </c>
      <c r="C1389" s="1">
        <v>0.66466059300000002</v>
      </c>
      <c r="D1389" s="1">
        <v>0.2881520904</v>
      </c>
      <c r="E1389" s="1">
        <v>0.99093876910000001</v>
      </c>
    </row>
    <row r="1390" spans="1:5" x14ac:dyDescent="0.3">
      <c r="A1390" s="1">
        <v>1389</v>
      </c>
      <c r="B1390" s="1">
        <v>0.66317113849999998</v>
      </c>
      <c r="C1390" s="1">
        <v>0.67526416310000004</v>
      </c>
      <c r="D1390" s="1">
        <v>0.29274842760000003</v>
      </c>
      <c r="E1390" s="1">
        <v>0.99069636660000004</v>
      </c>
    </row>
    <row r="1391" spans="1:5" x14ac:dyDescent="0.3">
      <c r="A1391" s="1">
        <v>1390</v>
      </c>
      <c r="B1391" s="1">
        <v>0.65000854480000003</v>
      </c>
      <c r="C1391" s="1">
        <v>0.68566220499999997</v>
      </c>
      <c r="D1391" s="1">
        <v>0.29725566180000002</v>
      </c>
      <c r="E1391" s="1">
        <v>0.99045681190000001</v>
      </c>
    </row>
    <row r="1392" spans="1:5" x14ac:dyDescent="0.3">
      <c r="A1392" s="1">
        <v>1391</v>
      </c>
      <c r="B1392" s="1">
        <v>0.63664795659999995</v>
      </c>
      <c r="C1392" s="1">
        <v>0.69585140239999999</v>
      </c>
      <c r="D1392" s="1">
        <v>0.30167235549999999</v>
      </c>
      <c r="E1392" s="1">
        <v>0.99022018000000001</v>
      </c>
    </row>
    <row r="1393" spans="1:5" x14ac:dyDescent="0.3">
      <c r="A1393" s="1">
        <v>1392</v>
      </c>
      <c r="B1393" s="1">
        <v>0.62309330389999995</v>
      </c>
      <c r="C1393" s="1">
        <v>0.70582849960000005</v>
      </c>
      <c r="D1393" s="1">
        <v>0.30599709749999998</v>
      </c>
      <c r="E1393" s="1">
        <v>0.98998654529999996</v>
      </c>
    </row>
    <row r="1394" spans="1:5" x14ac:dyDescent="0.3">
      <c r="A1394" s="1">
        <v>1393</v>
      </c>
      <c r="B1394" s="1">
        <v>0.60934858339999998</v>
      </c>
      <c r="C1394" s="1">
        <v>0.71559030310000005</v>
      </c>
      <c r="D1394" s="1">
        <v>0.31022850340000002</v>
      </c>
      <c r="E1394" s="1">
        <v>0.98975598129999998</v>
      </c>
    </row>
    <row r="1395" spans="1:5" x14ac:dyDescent="0.3">
      <c r="A1395" s="1">
        <v>1394</v>
      </c>
      <c r="B1395" s="1">
        <v>0.59541785719999996</v>
      </c>
      <c r="C1395" s="1">
        <v>0.7251336827</v>
      </c>
      <c r="D1395" s="1">
        <v>0.31436521639999998</v>
      </c>
      <c r="E1395" s="1">
        <v>0.98952856030000003</v>
      </c>
    </row>
    <row r="1396" spans="1:5" x14ac:dyDescent="0.3">
      <c r="A1396" s="1">
        <v>1395</v>
      </c>
      <c r="B1396" s="1">
        <v>0.58130525150000001</v>
      </c>
      <c r="C1396" s="1">
        <v>0.73445557250000004</v>
      </c>
      <c r="D1396" s="1">
        <v>0.31840590749999997</v>
      </c>
      <c r="E1396" s="1">
        <v>0.98930435429999997</v>
      </c>
    </row>
    <row r="1397" spans="1:5" x14ac:dyDescent="0.3">
      <c r="A1397" s="1">
        <v>1396</v>
      </c>
      <c r="B1397" s="1">
        <v>0.56701495580000005</v>
      </c>
      <c r="C1397" s="1">
        <v>0.74355297249999996</v>
      </c>
      <c r="D1397" s="1">
        <v>0.3223492764</v>
      </c>
      <c r="E1397" s="1">
        <v>0.98908343379999997</v>
      </c>
    </row>
    <row r="1398" spans="1:5" x14ac:dyDescent="0.3">
      <c r="A1398" s="1">
        <v>1397</v>
      </c>
      <c r="B1398" s="1">
        <v>0.55255122150000002</v>
      </c>
      <c r="C1398" s="1">
        <v>0.75242294939999999</v>
      </c>
      <c r="D1398" s="1">
        <v>0.32619405150000003</v>
      </c>
      <c r="E1398" s="1">
        <v>0.98886586880000005</v>
      </c>
    </row>
    <row r="1399" spans="1:5" x14ac:dyDescent="0.3">
      <c r="A1399" s="1">
        <v>1398</v>
      </c>
      <c r="B1399" s="1">
        <v>0.53791836029999995</v>
      </c>
      <c r="C1399" s="1">
        <v>0.76106263819999997</v>
      </c>
      <c r="D1399" s="1">
        <v>0.32993899100000001</v>
      </c>
      <c r="E1399" s="1">
        <v>0.98865172810000002</v>
      </c>
    </row>
    <row r="1400" spans="1:5" x14ac:dyDescent="0.3">
      <c r="A1400" s="1">
        <v>1399</v>
      </c>
      <c r="B1400" s="1">
        <v>0.52312074330000002</v>
      </c>
      <c r="C1400" s="1">
        <v>0.76946924289999996</v>
      </c>
      <c r="D1400" s="1">
        <v>0.333582883</v>
      </c>
      <c r="E1400" s="1">
        <v>0.98844107950000004</v>
      </c>
    </row>
    <row r="1401" spans="1:5" x14ac:dyDescent="0.3">
      <c r="A1401" s="1">
        <v>1400</v>
      </c>
      <c r="B1401" s="1">
        <v>0.50816279949999998</v>
      </c>
      <c r="C1401" s="1">
        <v>0.77764003800000003</v>
      </c>
      <c r="D1401" s="1">
        <v>0.33712454590000002</v>
      </c>
      <c r="E1401" s="1">
        <v>0.98823399000000001</v>
      </c>
    </row>
    <row r="1402" spans="1:5" x14ac:dyDescent="0.3">
      <c r="A1402" s="1">
        <v>1401</v>
      </c>
      <c r="B1402" s="1">
        <v>0.49304901449999999</v>
      </c>
      <c r="C1402" s="1">
        <v>0.78557236919999995</v>
      </c>
      <c r="D1402" s="1">
        <v>0.34056282939999999</v>
      </c>
      <c r="E1402" s="1">
        <v>0.98803052520000001</v>
      </c>
    </row>
    <row r="1403" spans="1:5" x14ac:dyDescent="0.3">
      <c r="A1403" s="1">
        <v>1402</v>
      </c>
      <c r="B1403" s="1">
        <v>0.477783929</v>
      </c>
      <c r="C1403" s="1">
        <v>0.79326365489999995</v>
      </c>
      <c r="D1403" s="1">
        <v>0.34389661440000002</v>
      </c>
      <c r="E1403" s="1">
        <v>0.98783074989999997</v>
      </c>
    </row>
    <row r="1404" spans="1:5" x14ac:dyDescent="0.3">
      <c r="A1404" s="1">
        <v>1403</v>
      </c>
      <c r="B1404" s="1">
        <v>0.46237213760000001</v>
      </c>
      <c r="C1404" s="1">
        <v>0.8007113871</v>
      </c>
      <c r="D1404" s="1">
        <v>0.34712481369999998</v>
      </c>
      <c r="E1404" s="1">
        <v>0.98763472770000005</v>
      </c>
    </row>
    <row r="1405" spans="1:5" x14ac:dyDescent="0.3">
      <c r="A1405" s="1">
        <v>1404</v>
      </c>
      <c r="B1405" s="1">
        <v>0.44681828699999998</v>
      </c>
      <c r="C1405" s="1">
        <v>0.80791313229999995</v>
      </c>
      <c r="D1405" s="1">
        <v>0.35024637269999997</v>
      </c>
      <c r="E1405" s="1">
        <v>0.98744252119999998</v>
      </c>
    </row>
    <row r="1406" spans="1:5" x14ac:dyDescent="0.3">
      <c r="A1406" s="1">
        <v>1405</v>
      </c>
      <c r="B1406" s="1">
        <v>0.43112707480000001</v>
      </c>
      <c r="C1406" s="1">
        <v>0.81486653279999999</v>
      </c>
      <c r="D1406" s="1">
        <v>0.35326026929999998</v>
      </c>
      <c r="E1406" s="1">
        <v>0.98725419160000005</v>
      </c>
    </row>
    <row r="1407" spans="1:5" x14ac:dyDescent="0.3">
      <c r="A1407" s="1">
        <v>1406</v>
      </c>
      <c r="B1407" s="1">
        <v>0.41530324810000002</v>
      </c>
      <c r="C1407" s="1">
        <v>0.8215693073</v>
      </c>
      <c r="D1407" s="1">
        <v>0.35616551470000002</v>
      </c>
      <c r="E1407" s="1">
        <v>0.98706979920000004</v>
      </c>
    </row>
    <row r="1408" spans="1:5" x14ac:dyDescent="0.3">
      <c r="A1408" s="1">
        <v>1407</v>
      </c>
      <c r="B1408" s="1">
        <v>0.39935160159999999</v>
      </c>
      <c r="C1408" s="1">
        <v>0.82801925220000006</v>
      </c>
      <c r="D1408" s="1">
        <v>0.35896115379999999</v>
      </c>
      <c r="E1408" s="1">
        <v>0.98688940290000005</v>
      </c>
    </row>
    <row r="1409" spans="1:5" x14ac:dyDescent="0.3">
      <c r="A1409" s="1">
        <v>1408</v>
      </c>
      <c r="B1409" s="1">
        <v>0.38327697640000002</v>
      </c>
      <c r="C1409" s="1">
        <v>0.83421424229999996</v>
      </c>
      <c r="D1409" s="1">
        <v>0.3616462654</v>
      </c>
      <c r="E1409" s="1">
        <v>0.98671306059999997</v>
      </c>
    </row>
    <row r="1410" spans="1:5" x14ac:dyDescent="0.3">
      <c r="A1410" s="1">
        <v>1409</v>
      </c>
      <c r="B1410" s="1">
        <v>0.36708425830000002</v>
      </c>
      <c r="C1410" s="1">
        <v>0.84015223189999999</v>
      </c>
      <c r="D1410" s="1">
        <v>0.36421996290000003</v>
      </c>
      <c r="E1410" s="1">
        <v>0.98654082870000004</v>
      </c>
    </row>
    <row r="1411" spans="1:5" x14ac:dyDescent="0.3">
      <c r="A1411" s="1">
        <v>1410</v>
      </c>
      <c r="B1411" s="1">
        <v>0.35077837610000001</v>
      </c>
      <c r="C1411" s="1">
        <v>0.84583125550000005</v>
      </c>
      <c r="D1411" s="1">
        <v>0.36668139430000002</v>
      </c>
      <c r="E1411" s="1">
        <v>0.98637276269999996</v>
      </c>
    </row>
    <row r="1412" spans="1:5" x14ac:dyDescent="0.3">
      <c r="A1412" s="1">
        <v>1411</v>
      </c>
      <c r="B1412" s="1">
        <v>0.33436430010000001</v>
      </c>
      <c r="C1412" s="1">
        <v>0.85124942889999999</v>
      </c>
      <c r="D1412" s="1">
        <v>0.36902974300000002</v>
      </c>
      <c r="E1412" s="1">
        <v>0.98620891639999997</v>
      </c>
    </row>
    <row r="1413" spans="1:5" x14ac:dyDescent="0.3">
      <c r="A1413" s="1">
        <v>1412</v>
      </c>
      <c r="B1413" s="1">
        <v>0.31784704050000001</v>
      </c>
      <c r="C1413" s="1">
        <v>0.85640494970000003</v>
      </c>
      <c r="D1413" s="1">
        <v>0.3712642277</v>
      </c>
      <c r="E1413" s="1">
        <v>0.98604934249999998</v>
      </c>
    </row>
    <row r="1414" spans="1:5" x14ac:dyDescent="0.3">
      <c r="A1414" s="1">
        <v>1413</v>
      </c>
      <c r="B1414" s="1">
        <v>0.30123164559999999</v>
      </c>
      <c r="C1414" s="1">
        <v>0.86129609819999997</v>
      </c>
      <c r="D1414" s="1">
        <v>0.37338410319999998</v>
      </c>
      <c r="E1414" s="1">
        <v>0.98589409250000004</v>
      </c>
    </row>
    <row r="1415" spans="1:5" x14ac:dyDescent="0.3">
      <c r="A1415" s="1">
        <v>1414</v>
      </c>
      <c r="B1415" s="1">
        <v>0.28452320019999999</v>
      </c>
      <c r="C1415" s="1">
        <v>0.86592123830000001</v>
      </c>
      <c r="D1415" s="1">
        <v>0.37538866009999999</v>
      </c>
      <c r="E1415" s="1">
        <v>0.98574321639999996</v>
      </c>
    </row>
    <row r="1416" spans="1:5" x14ac:dyDescent="0.3">
      <c r="A1416" s="1">
        <v>1415</v>
      </c>
      <c r="B1416" s="1">
        <v>0.26772682380000001</v>
      </c>
      <c r="C1416" s="1">
        <v>0.87027881809999996</v>
      </c>
      <c r="D1416" s="1">
        <v>0.37727722609999997</v>
      </c>
      <c r="E1416" s="1">
        <v>0.98559676269999996</v>
      </c>
    </row>
    <row r="1417" spans="1:5" x14ac:dyDescent="0.3">
      <c r="A1417" s="1">
        <v>1416</v>
      </c>
      <c r="B1417" s="1">
        <v>0.25084766889999999</v>
      </c>
      <c r="C1417" s="1">
        <v>0.87436737060000003</v>
      </c>
      <c r="D1417" s="1">
        <v>0.37904916519999998</v>
      </c>
      <c r="E1417" s="1">
        <v>0.985454779</v>
      </c>
    </row>
    <row r="1418" spans="1:5" x14ac:dyDescent="0.3">
      <c r="A1418" s="1">
        <v>1417</v>
      </c>
      <c r="B1418" s="1">
        <v>0.23389091949999999</v>
      </c>
      <c r="C1418" s="1">
        <v>0.87818551430000003</v>
      </c>
      <c r="D1418" s="1">
        <v>0.3807038787</v>
      </c>
      <c r="E1418" s="1">
        <v>0.98531731079999996</v>
      </c>
    </row>
    <row r="1419" spans="1:5" x14ac:dyDescent="0.3">
      <c r="A1419" s="1">
        <v>1418</v>
      </c>
      <c r="B1419" s="1">
        <v>0.21686178889999999</v>
      </c>
      <c r="C1419" s="1">
        <v>0.88173195410000005</v>
      </c>
      <c r="D1419" s="1">
        <v>0.38224080539999999</v>
      </c>
      <c r="E1419" s="1">
        <v>0.98518440289999998</v>
      </c>
    </row>
    <row r="1420" spans="1:5" x14ac:dyDescent="0.3">
      <c r="A1420" s="1">
        <v>1419</v>
      </c>
      <c r="B1420" s="1">
        <v>0.19976551819999999</v>
      </c>
      <c r="C1420" s="1">
        <v>0.88500548160000003</v>
      </c>
      <c r="D1420" s="1">
        <v>0.38365942139999998</v>
      </c>
      <c r="E1420" s="1">
        <v>0.98505609810000005</v>
      </c>
    </row>
    <row r="1421" spans="1:5" x14ac:dyDescent="0.3">
      <c r="A1421" s="1">
        <v>1420</v>
      </c>
      <c r="B1421" s="1">
        <v>0.18260737460000001</v>
      </c>
      <c r="C1421" s="1">
        <v>0.88800497570000003</v>
      </c>
      <c r="D1421" s="1">
        <v>0.38495924110000002</v>
      </c>
      <c r="E1421" s="1">
        <v>0.98493243799999997</v>
      </c>
    </row>
    <row r="1422" spans="1:5" x14ac:dyDescent="0.3">
      <c r="A1422" s="1">
        <v>1421</v>
      </c>
      <c r="B1422" s="1">
        <v>0.165392649</v>
      </c>
      <c r="C1422" s="1">
        <v>0.89072940339999995</v>
      </c>
      <c r="D1422" s="1">
        <v>0.38613981660000002</v>
      </c>
      <c r="E1422" s="1">
        <v>0.98481346280000004</v>
      </c>
    </row>
    <row r="1423" spans="1:5" x14ac:dyDescent="0.3">
      <c r="A1423" s="1">
        <v>1422</v>
      </c>
      <c r="B1423" s="1">
        <v>0.148126655</v>
      </c>
      <c r="C1423" s="1">
        <v>0.89317782000000001</v>
      </c>
      <c r="D1423" s="1">
        <v>0.38720073859999998</v>
      </c>
      <c r="E1423" s="1">
        <v>0.98469921090000001</v>
      </c>
    </row>
    <row r="1424" spans="1:5" x14ac:dyDescent="0.3">
      <c r="A1424" s="1">
        <v>1423</v>
      </c>
      <c r="B1424" s="1">
        <v>0.13081472659999999</v>
      </c>
      <c r="C1424" s="1">
        <v>0.89534936949999999</v>
      </c>
      <c r="D1424" s="1">
        <v>0.38814163629999998</v>
      </c>
      <c r="E1424" s="1">
        <v>0.98458971959999997</v>
      </c>
    </row>
    <row r="1425" spans="1:5" x14ac:dyDescent="0.3">
      <c r="A1425" s="1">
        <v>1424</v>
      </c>
      <c r="B1425" s="1">
        <v>0.113462216</v>
      </c>
      <c r="C1425" s="1">
        <v>0.89724328539999998</v>
      </c>
      <c r="D1425" s="1">
        <v>0.3889621774</v>
      </c>
      <c r="E1425" s="1">
        <v>0.98448502429999996</v>
      </c>
    </row>
    <row r="1426" spans="1:5" x14ac:dyDescent="0.3">
      <c r="A1426" s="1">
        <v>1425</v>
      </c>
      <c r="B1426" s="1">
        <v>9.6074492600000005E-2</v>
      </c>
      <c r="C1426" s="1">
        <v>0.89885889080000003</v>
      </c>
      <c r="D1426" s="1">
        <v>0.38966206860000002</v>
      </c>
      <c r="E1426" s="1">
        <v>0.98438515910000002</v>
      </c>
    </row>
    <row r="1427" spans="1:5" x14ac:dyDescent="0.3">
      <c r="A1427" s="1">
        <v>1426</v>
      </c>
      <c r="B1427" s="1">
        <v>7.8656940300000006E-2</v>
      </c>
      <c r="C1427" s="1">
        <v>0.9001955989</v>
      </c>
      <c r="D1427" s="1">
        <v>0.39024105580000001</v>
      </c>
      <c r="E1427" s="1">
        <v>0.98429015649999996</v>
      </c>
    </row>
    <row r="1428" spans="1:5" x14ac:dyDescent="0.3">
      <c r="A1428" s="1">
        <v>1427</v>
      </c>
      <c r="B1428" s="1">
        <v>6.1214956000000001E-2</v>
      </c>
      <c r="C1428" s="1">
        <v>0.90125291320000001</v>
      </c>
      <c r="D1428" s="1">
        <v>0.39069892379999999</v>
      </c>
      <c r="E1428" s="1">
        <v>0.98420004750000001</v>
      </c>
    </row>
    <row r="1429" spans="1:5" x14ac:dyDescent="0.3">
      <c r="A1429" s="1">
        <v>1428</v>
      </c>
      <c r="B1429" s="1">
        <v>4.3753947799999998E-2</v>
      </c>
      <c r="C1429" s="1">
        <v>0.90203042759999996</v>
      </c>
      <c r="D1429" s="1">
        <v>0.39103549679999999</v>
      </c>
      <c r="E1429" s="1">
        <v>0.98411486120000002</v>
      </c>
    </row>
    <row r="1430" spans="1:5" x14ac:dyDescent="0.3">
      <c r="A1430" s="1">
        <v>1429</v>
      </c>
      <c r="B1430" s="1">
        <v>2.62793326E-2</v>
      </c>
      <c r="C1430" s="1">
        <v>0.90252782730000003</v>
      </c>
      <c r="D1430" s="1">
        <v>0.39125063840000002</v>
      </c>
      <c r="E1430" s="1">
        <v>0.98403462559999999</v>
      </c>
    </row>
    <row r="1431" spans="1:5" x14ac:dyDescent="0.3">
      <c r="A1431" s="1">
        <v>1430</v>
      </c>
      <c r="B1431" s="1">
        <v>8.7965348999999998E-3</v>
      </c>
      <c r="C1431" s="1">
        <v>0.90274488819999998</v>
      </c>
      <c r="D1431" s="1">
        <v>0.39134425160000003</v>
      </c>
      <c r="E1431" s="1">
        <v>0.98395936669999995</v>
      </c>
    </row>
    <row r="1432" spans="1:5" x14ac:dyDescent="0.3">
      <c r="A1432" s="1">
        <v>1431</v>
      </c>
      <c r="B1432" s="1">
        <v>-8.6890158999999995E-3</v>
      </c>
      <c r="C1432" s="1">
        <v>0.90268147759999995</v>
      </c>
      <c r="D1432" s="1">
        <v>0.3913162791</v>
      </c>
      <c r="E1432" s="1">
        <v>0.98388910919999994</v>
      </c>
    </row>
    <row r="1433" spans="1:5" x14ac:dyDescent="0.3">
      <c r="A1433" s="1">
        <v>1432</v>
      </c>
      <c r="B1433" s="1">
        <v>-2.61718869E-2</v>
      </c>
      <c r="C1433" s="1">
        <v>0.90233755410000005</v>
      </c>
      <c r="D1433" s="1">
        <v>0.391166703</v>
      </c>
      <c r="E1433" s="1">
        <v>0.98382387589999998</v>
      </c>
    </row>
    <row r="1434" spans="1:5" x14ac:dyDescent="0.3">
      <c r="A1434" s="1">
        <v>1433</v>
      </c>
      <c r="B1434" s="1">
        <v>-4.3646643700000001E-2</v>
      </c>
      <c r="C1434" s="1">
        <v>0.9017131679</v>
      </c>
      <c r="D1434" s="1">
        <v>0.39089554529999998</v>
      </c>
      <c r="E1434" s="1">
        <v>0.98376368810000003</v>
      </c>
    </row>
    <row r="1435" spans="1:5" x14ac:dyDescent="0.3">
      <c r="A1435" s="1">
        <v>1434</v>
      </c>
      <c r="B1435" s="1">
        <v>-6.1107852499999997E-2</v>
      </c>
      <c r="C1435" s="1">
        <v>0.90080846059999997</v>
      </c>
      <c r="D1435" s="1">
        <v>0.39050286760000003</v>
      </c>
      <c r="E1435" s="1">
        <v>0.98370856559999997</v>
      </c>
    </row>
    <row r="1436" spans="1:5" x14ac:dyDescent="0.3">
      <c r="A1436" s="1">
        <v>1435</v>
      </c>
      <c r="B1436" s="1">
        <v>-7.8550082100000002E-2</v>
      </c>
      <c r="C1436" s="1">
        <v>0.89962366540000005</v>
      </c>
      <c r="D1436" s="1">
        <v>0.3899887709</v>
      </c>
      <c r="E1436" s="1">
        <v>0.98365852620000005</v>
      </c>
    </row>
    <row r="1437" spans="1:5" x14ac:dyDescent="0.3">
      <c r="A1437" s="1">
        <v>1436</v>
      </c>
      <c r="B1437" s="1">
        <v>-9.59679056E-2</v>
      </c>
      <c r="C1437" s="1">
        <v>0.8981591069</v>
      </c>
      <c r="D1437" s="1">
        <v>0.38935339629999999</v>
      </c>
      <c r="E1437" s="1">
        <v>0.98361358639999996</v>
      </c>
    </row>
    <row r="1438" spans="1:5" x14ac:dyDescent="0.3">
      <c r="A1438" s="1">
        <v>1437</v>
      </c>
      <c r="B1438" s="1">
        <v>-0.1133559024</v>
      </c>
      <c r="C1438" s="1">
        <v>0.89641520119999996</v>
      </c>
      <c r="D1438" s="1">
        <v>0.38859692420000003</v>
      </c>
      <c r="E1438" s="1">
        <v>0.98357376080000003</v>
      </c>
    </row>
    <row r="1439" spans="1:5" x14ac:dyDescent="0.3">
      <c r="A1439" s="1">
        <v>1438</v>
      </c>
      <c r="B1439" s="1">
        <v>-0.13070866019999999</v>
      </c>
      <c r="C1439" s="1">
        <v>0.89439245580000004</v>
      </c>
      <c r="D1439" s="1">
        <v>0.38771957480000002</v>
      </c>
      <c r="E1439" s="1">
        <v>0.98353906250000001</v>
      </c>
    </row>
    <row r="1440" spans="1:5" x14ac:dyDescent="0.3">
      <c r="A1440" s="1">
        <v>1439</v>
      </c>
      <c r="B1440" s="1">
        <v>-0.14802077720000001</v>
      </c>
      <c r="C1440" s="1">
        <v>0.89209146939999995</v>
      </c>
      <c r="D1440" s="1">
        <v>0.38672160779999998</v>
      </c>
      <c r="E1440" s="1">
        <v>0.98350950290000005</v>
      </c>
    </row>
    <row r="1441" spans="1:5" x14ac:dyDescent="0.3">
      <c r="A1441" s="1">
        <v>1440</v>
      </c>
      <c r="B1441" s="1">
        <v>-0.16528686340000001</v>
      </c>
      <c r="C1441" s="1">
        <v>0.88951293180000002</v>
      </c>
      <c r="D1441" s="1">
        <v>0.3856033224</v>
      </c>
      <c r="E1441" s="1">
        <v>0.98348509159999997</v>
      </c>
    </row>
    <row r="1442" spans="1:5" x14ac:dyDescent="0.3">
      <c r="A1442" s="1">
        <v>1441</v>
      </c>
      <c r="B1442" s="1">
        <v>-0.18250154330000001</v>
      </c>
      <c r="C1442" s="1">
        <v>0.88665762349999999</v>
      </c>
      <c r="D1442" s="1">
        <v>0.38436505700000001</v>
      </c>
      <c r="E1442" s="1">
        <v>0.98346583649999997</v>
      </c>
    </row>
    <row r="1443" spans="1:5" x14ac:dyDescent="0.3">
      <c r="A1443" s="1">
        <v>1442</v>
      </c>
      <c r="B1443" s="1">
        <v>-0.19965945700000001</v>
      </c>
      <c r="C1443" s="1">
        <v>0.8835264156</v>
      </c>
      <c r="D1443" s="1">
        <v>0.38300718950000001</v>
      </c>
      <c r="E1443" s="1">
        <v>0.98345174410000002</v>
      </c>
    </row>
    <row r="1444" spans="1:5" x14ac:dyDescent="0.3">
      <c r="A1444" s="1">
        <v>1443</v>
      </c>
      <c r="B1444" s="1">
        <v>-0.216755263</v>
      </c>
      <c r="C1444" s="1">
        <v>0.8801202695</v>
      </c>
      <c r="D1444" s="1">
        <v>0.38153013679999997</v>
      </c>
      <c r="E1444" s="1">
        <v>0.98344281889999996</v>
      </c>
    </row>
    <row r="1445" spans="1:5" x14ac:dyDescent="0.3">
      <c r="A1445" s="1">
        <v>1444</v>
      </c>
      <c r="B1445" s="1">
        <v>-0.2337836395</v>
      </c>
      <c r="C1445" s="1">
        <v>0.87644023670000004</v>
      </c>
      <c r="D1445" s="1">
        <v>0.37993435469999998</v>
      </c>
      <c r="E1445" s="1">
        <v>0.98343906390000002</v>
      </c>
    </row>
    <row r="1446" spans="1:5" x14ac:dyDescent="0.3">
      <c r="A1446" s="1">
        <v>1445</v>
      </c>
      <c r="B1446" s="1">
        <v>-0.25073928649999999</v>
      </c>
      <c r="C1446" s="1">
        <v>0.87248745800000005</v>
      </c>
      <c r="D1446" s="1">
        <v>0.3782203381</v>
      </c>
      <c r="E1446" s="1">
        <v>0.98344048029999998</v>
      </c>
    </row>
    <row r="1447" spans="1:5" x14ac:dyDescent="0.3">
      <c r="A1447" s="1">
        <v>1446</v>
      </c>
      <c r="B1447" s="1">
        <v>-0.2676169276</v>
      </c>
      <c r="C1447" s="1">
        <v>0.8682631636</v>
      </c>
      <c r="D1447" s="1">
        <v>0.37638862039999998</v>
      </c>
      <c r="E1447" s="1">
        <v>0.9834470676</v>
      </c>
    </row>
    <row r="1448" spans="1:5" x14ac:dyDescent="0.3">
      <c r="A1448" s="1">
        <v>1447</v>
      </c>
      <c r="B1448" s="1">
        <v>-0.28441131219999999</v>
      </c>
      <c r="C1448" s="1">
        <v>0.86376867239999999</v>
      </c>
      <c r="D1448" s="1">
        <v>0.37443977350000002</v>
      </c>
      <c r="E1448" s="1">
        <v>0.98345882370000004</v>
      </c>
    </row>
    <row r="1449" spans="1:5" x14ac:dyDescent="0.3">
      <c r="A1449" s="1">
        <v>1448</v>
      </c>
      <c r="B1449" s="1">
        <v>-0.30111721699999999</v>
      </c>
      <c r="C1449" s="1">
        <v>0.8590053916</v>
      </c>
      <c r="D1449" s="1">
        <v>0.3723744075</v>
      </c>
      <c r="E1449" s="1">
        <v>0.9834757448</v>
      </c>
    </row>
    <row r="1450" spans="1:5" x14ac:dyDescent="0.3">
      <c r="A1450" s="1">
        <v>1449</v>
      </c>
      <c r="B1450" s="1">
        <v>-0.31772944819999999</v>
      </c>
      <c r="C1450" s="1">
        <v>0.85397481620000004</v>
      </c>
      <c r="D1450" s="1">
        <v>0.37019317060000001</v>
      </c>
      <c r="E1450" s="1">
        <v>0.98349782529999996</v>
      </c>
    </row>
    <row r="1451" spans="1:5" x14ac:dyDescent="0.3">
      <c r="A1451" s="1">
        <v>1450</v>
      </c>
      <c r="B1451" s="1">
        <v>-0.33424284300000001</v>
      </c>
      <c r="C1451" s="1">
        <v>0.8486785281</v>
      </c>
      <c r="D1451" s="1">
        <v>0.36789674880000001</v>
      </c>
      <c r="E1451" s="1">
        <v>0.98352505810000002</v>
      </c>
    </row>
    <row r="1452" spans="1:5" x14ac:dyDescent="0.3">
      <c r="A1452" s="1">
        <v>1451</v>
      </c>
      <c r="B1452" s="1">
        <v>-0.35065227180000003</v>
      </c>
      <c r="C1452" s="1">
        <v>0.84311819610000005</v>
      </c>
      <c r="D1452" s="1">
        <v>0.36548586570000002</v>
      </c>
      <c r="E1452" s="1">
        <v>0.98355743419999997</v>
      </c>
    </row>
    <row r="1453" spans="1:5" x14ac:dyDescent="0.3">
      <c r="A1453" s="1">
        <v>1452</v>
      </c>
      <c r="B1453" s="1">
        <v>-0.36695263970000003</v>
      </c>
      <c r="C1453" s="1">
        <v>0.83729557499999996</v>
      </c>
      <c r="D1453" s="1">
        <v>0.362961282</v>
      </c>
      <c r="E1453" s="1">
        <v>0.98359494300000005</v>
      </c>
    </row>
    <row r="1454" spans="1:5" x14ac:dyDescent="0.3">
      <c r="A1454" s="1">
        <v>1453</v>
      </c>
      <c r="B1454" s="1">
        <v>-0.3831388886</v>
      </c>
      <c r="C1454" s="1">
        <v>0.83121250479999997</v>
      </c>
      <c r="D1454" s="1">
        <v>0.3603237957</v>
      </c>
      <c r="E1454" s="1">
        <v>0.98363757240000005</v>
      </c>
    </row>
    <row r="1455" spans="1:5" x14ac:dyDescent="0.3">
      <c r="A1455" s="1">
        <v>1454</v>
      </c>
      <c r="B1455" s="1">
        <v>-0.39920599899999998</v>
      </c>
      <c r="C1455" s="1">
        <v>0.82487091010000002</v>
      </c>
      <c r="D1455" s="1">
        <v>0.35757424110000002</v>
      </c>
      <c r="E1455" s="1">
        <v>0.98368530840000001</v>
      </c>
    </row>
    <row r="1456" spans="1:5" x14ac:dyDescent="0.3">
      <c r="A1456" s="1">
        <v>1455</v>
      </c>
      <c r="B1456" s="1">
        <v>-0.41514899119999998</v>
      </c>
      <c r="C1456" s="1">
        <v>0.81827279959999999</v>
      </c>
      <c r="D1456" s="1">
        <v>0.35471348920000001</v>
      </c>
      <c r="E1456" s="1">
        <v>0.98373813529999998</v>
      </c>
    </row>
    <row r="1457" spans="1:5" x14ac:dyDescent="0.3">
      <c r="A1457" s="1">
        <v>1456</v>
      </c>
      <c r="B1457" s="1">
        <v>-0.43096292800000002</v>
      </c>
      <c r="C1457" s="1">
        <v>0.81142026499999997</v>
      </c>
      <c r="D1457" s="1">
        <v>0.3517424468</v>
      </c>
      <c r="E1457" s="1">
        <v>0.98379603609999999</v>
      </c>
    </row>
    <row r="1458" spans="1:5" x14ac:dyDescent="0.3">
      <c r="A1458" s="1">
        <v>1457</v>
      </c>
      <c r="B1458" s="1">
        <v>-0.44664291569999998</v>
      </c>
      <c r="C1458" s="1">
        <v>0.80431548019999999</v>
      </c>
      <c r="D1458" s="1">
        <v>0.34866205649999998</v>
      </c>
      <c r="E1458" s="1">
        <v>0.98385899170000002</v>
      </c>
    </row>
    <row r="1459" spans="1:5" x14ac:dyDescent="0.3">
      <c r="A1459" s="1">
        <v>1458</v>
      </c>
      <c r="B1459" s="1">
        <v>-0.46218410599999998</v>
      </c>
      <c r="C1459" s="1">
        <v>0.79696070090000004</v>
      </c>
      <c r="D1459" s="1">
        <v>0.34547329640000002</v>
      </c>
      <c r="E1459" s="1">
        <v>0.98392698160000003</v>
      </c>
    </row>
    <row r="1460" spans="1:5" x14ac:dyDescent="0.3">
      <c r="A1460" s="1">
        <v>1459</v>
      </c>
      <c r="B1460" s="1">
        <v>-0.47758169789999999</v>
      </c>
      <c r="C1460" s="1">
        <v>0.78935826330000003</v>
      </c>
      <c r="D1460" s="1">
        <v>0.34217717920000001</v>
      </c>
      <c r="E1460" s="1">
        <v>0.98399998369999997</v>
      </c>
    </row>
    <row r="1461" spans="1:5" x14ac:dyDescent="0.3">
      <c r="A1461" s="1">
        <v>1460</v>
      </c>
      <c r="B1461" s="1">
        <v>-0.49283093909999998</v>
      </c>
      <c r="C1461" s="1">
        <v>0.78151058330000001</v>
      </c>
      <c r="D1461" s="1">
        <v>0.33877475239999999</v>
      </c>
      <c r="E1461" s="1">
        <v>0.98407797419999998</v>
      </c>
    </row>
    <row r="1462" spans="1:5" x14ac:dyDescent="0.3">
      <c r="A1462" s="1">
        <v>1461</v>
      </c>
      <c r="B1462" s="1">
        <v>-0.50792712809999996</v>
      </c>
      <c r="C1462" s="1">
        <v>0.7734201557</v>
      </c>
      <c r="D1462" s="1">
        <v>0.33526709760000001</v>
      </c>
      <c r="E1462" s="1">
        <v>0.98416092759999996</v>
      </c>
    </row>
    <row r="1463" spans="1:5" x14ac:dyDescent="0.3">
      <c r="A1463" s="1">
        <v>1462</v>
      </c>
      <c r="B1463" s="1">
        <v>-0.52286561499999995</v>
      </c>
      <c r="C1463" s="1">
        <v>0.76508955310000004</v>
      </c>
      <c r="D1463" s="1">
        <v>0.3316553303</v>
      </c>
      <c r="E1463" s="1">
        <v>0.98424881689999999</v>
      </c>
    </row>
    <row r="1464" spans="1:5" x14ac:dyDescent="0.3">
      <c r="A1464" s="3"/>
      <c r="C1464" s="3"/>
      <c r="D1464" s="4" t="s">
        <v>1</v>
      </c>
      <c r="E1464" s="3">
        <f>AVERAGE(dt_1[r (Distance in AU)])</f>
        <v>1.0004665715536252</v>
      </c>
    </row>
    <row r="1465" spans="1:5" x14ac:dyDescent="0.3">
      <c r="D1465" s="4"/>
    </row>
  </sheetData>
  <mergeCells count="2">
    <mergeCell ref="H3:H5"/>
    <mergeCell ref="G3:G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F8D2-C74E-4405-BC8C-490C9CAFEFC4}">
  <dimension ref="A1:H212"/>
  <sheetViews>
    <sheetView topLeftCell="A205" workbookViewId="0">
      <selection activeCell="G41" sqref="G41"/>
    </sheetView>
  </sheetViews>
  <sheetFormatPr defaultRowHeight="14.4" x14ac:dyDescent="0.3"/>
  <cols>
    <col min="1" max="1" width="11.44140625" bestFit="1" customWidth="1"/>
    <col min="2" max="3" width="19" bestFit="1" customWidth="1"/>
    <col min="4" max="4" width="18.88671875" bestFit="1" customWidth="1"/>
    <col min="5" max="5" width="21.109375" bestFit="1" customWidth="1"/>
    <col min="7" max="7" width="14.44140625" bestFit="1" customWidth="1"/>
    <col min="8" max="8" width="43" bestFit="1" customWidth="1"/>
  </cols>
  <sheetData>
    <row r="1" spans="1:8" x14ac:dyDescent="0.3">
      <c r="A1" s="3" t="s">
        <v>6</v>
      </c>
      <c r="B1" t="s">
        <v>5</v>
      </c>
      <c r="C1" t="s">
        <v>4</v>
      </c>
      <c r="D1" t="s">
        <v>3</v>
      </c>
      <c r="E1" s="3" t="s">
        <v>2</v>
      </c>
    </row>
    <row r="2" spans="1:8" x14ac:dyDescent="0.3">
      <c r="A2" s="1">
        <v>1</v>
      </c>
      <c r="B2" s="1">
        <v>-0.53057153609999996</v>
      </c>
      <c r="C2" s="1">
        <v>0.76065220509999998</v>
      </c>
      <c r="D2" s="1">
        <v>0.3297315066</v>
      </c>
      <c r="E2" s="1">
        <v>0.98428694920000004</v>
      </c>
    </row>
    <row r="3" spans="1:8" x14ac:dyDescent="0.3">
      <c r="A3" s="1">
        <v>8</v>
      </c>
      <c r="B3" s="1">
        <v>-0.62993686260000004</v>
      </c>
      <c r="C3" s="1">
        <v>0.69484828259999998</v>
      </c>
      <c r="D3" s="1">
        <v>0.30120245849999999</v>
      </c>
      <c r="E3" s="1">
        <v>0.98506726050000004</v>
      </c>
      <c r="G3" s="29" t="s">
        <v>11</v>
      </c>
      <c r="H3" s="29"/>
    </row>
    <row r="4" spans="1:8" x14ac:dyDescent="0.3">
      <c r="A4" s="1">
        <v>15</v>
      </c>
      <c r="B4" s="1">
        <v>-0.71974443939999999</v>
      </c>
      <c r="C4" s="1">
        <v>0.61850008280000002</v>
      </c>
      <c r="D4" s="1">
        <v>0.26810268269999998</v>
      </c>
      <c r="E4" s="1">
        <v>0.98613054860000005</v>
      </c>
      <c r="G4" s="29"/>
      <c r="H4" s="29"/>
    </row>
    <row r="5" spans="1:8" x14ac:dyDescent="0.3">
      <c r="A5" s="1">
        <v>22</v>
      </c>
      <c r="B5" s="1">
        <v>-0.79866649209999996</v>
      </c>
      <c r="C5" s="1">
        <v>0.53279618250000005</v>
      </c>
      <c r="D5" s="1">
        <v>0.23094746930000001</v>
      </c>
      <c r="E5" s="1">
        <v>0.98745970620000001</v>
      </c>
      <c r="G5" s="29"/>
      <c r="H5" s="29"/>
    </row>
    <row r="6" spans="1:8" x14ac:dyDescent="0.3">
      <c r="A6" s="1">
        <v>29</v>
      </c>
      <c r="B6" s="1">
        <v>-0.86555766379999999</v>
      </c>
      <c r="C6" s="1">
        <v>0.43906517709999998</v>
      </c>
      <c r="D6" s="1">
        <v>0.1903128023</v>
      </c>
      <c r="E6" s="1">
        <v>0.98903349890000003</v>
      </c>
      <c r="G6" s="5" t="s">
        <v>9</v>
      </c>
      <c r="H6" s="5" t="s">
        <v>12</v>
      </c>
    </row>
    <row r="7" spans="1:8" x14ac:dyDescent="0.3">
      <c r="A7" s="1">
        <v>36</v>
      </c>
      <c r="B7" s="1">
        <v>-0.9194720475</v>
      </c>
      <c r="C7" s="1">
        <v>0.33875047489999999</v>
      </c>
      <c r="D7" s="1">
        <v>0.1468244319</v>
      </c>
      <c r="E7" s="1">
        <v>0.99082700010000002</v>
      </c>
      <c r="G7" s="5" t="s">
        <v>10</v>
      </c>
      <c r="H7" s="5" t="s">
        <v>13</v>
      </c>
    </row>
    <row r="8" spans="1:8" x14ac:dyDescent="0.3">
      <c r="A8" s="1">
        <v>43</v>
      </c>
      <c r="B8" s="1">
        <v>-0.9596756649</v>
      </c>
      <c r="C8" s="1">
        <v>0.23338355920000001</v>
      </c>
      <c r="D8" s="1">
        <v>0.10114628320000001</v>
      </c>
      <c r="E8" s="1">
        <v>0.99281208600000004</v>
      </c>
      <c r="G8" s="5" t="s">
        <v>7</v>
      </c>
      <c r="H8" s="7">
        <f>ABS((dt_7[[#Totals],[r (Distance in AU)]]-horizons_results_fin_use___Copy__2[[#Totals],[r (Distance in AU)]])/horizons_results_fin_use___Copy__2[[#Totals],[r (Distance in AU)]])</f>
        <v>3.9791856130502491E-3</v>
      </c>
    </row>
    <row r="9" spans="1:8" x14ac:dyDescent="0.3">
      <c r="A9" s="1">
        <v>50</v>
      </c>
      <c r="B9" s="1">
        <v>-0.98565432760000005</v>
      </c>
      <c r="C9" s="1">
        <v>0.1245564901</v>
      </c>
      <c r="D9" s="1">
        <v>5.3968535900000003E-2</v>
      </c>
      <c r="E9" s="1">
        <v>0.99495797679999998</v>
      </c>
    </row>
    <row r="10" spans="1:8" x14ac:dyDescent="0.3">
      <c r="A10" s="1">
        <v>57</v>
      </c>
      <c r="B10" s="1">
        <v>-0.99711698029999996</v>
      </c>
      <c r="C10" s="1">
        <v>1.38943752E-2</v>
      </c>
      <c r="D10" s="1">
        <v>5.9956895E-3</v>
      </c>
      <c r="E10" s="1">
        <v>0.99723180580000004</v>
      </c>
    </row>
    <row r="11" spans="1:8" x14ac:dyDescent="0.3">
      <c r="A11" s="1">
        <v>64</v>
      </c>
      <c r="B11" s="1">
        <v>-0.9939947764</v>
      </c>
      <c r="C11" s="1">
        <v>-9.6971525399999994E-2</v>
      </c>
      <c r="D11" s="1">
        <v>-4.2065095500000003E-2</v>
      </c>
      <c r="E11" s="1">
        <v>0.99959920189999996</v>
      </c>
    </row>
    <row r="12" spans="1:8" ht="15.6" x14ac:dyDescent="0.3">
      <c r="A12" s="1">
        <v>71</v>
      </c>
      <c r="B12" s="1">
        <v>-0.97643624790000005</v>
      </c>
      <c r="C12" s="1">
        <v>-0.20642949529999999</v>
      </c>
      <c r="D12" s="1">
        <v>-8.9515136699999998E-2</v>
      </c>
      <c r="E12" s="1">
        <v>1.0020248711999999</v>
      </c>
      <c r="G12" s="24"/>
    </row>
    <row r="13" spans="1:8" x14ac:dyDescent="0.3">
      <c r="A13" s="1">
        <v>78</v>
      </c>
      <c r="B13" s="1">
        <v>-0.94479901799999999</v>
      </c>
      <c r="C13" s="1">
        <v>-0.31291139499999998</v>
      </c>
      <c r="D13" s="1">
        <v>-0.13567464849999999</v>
      </c>
      <c r="E13" s="1">
        <v>1.0044731632999999</v>
      </c>
    </row>
    <row r="14" spans="1:8" x14ac:dyDescent="0.3">
      <c r="A14" s="1">
        <v>85</v>
      </c>
      <c r="B14" s="1">
        <v>-0.89963855110000002</v>
      </c>
      <c r="C14" s="1">
        <v>-0.41491468879999999</v>
      </c>
      <c r="D14" s="1">
        <v>-0.17989229009999999</v>
      </c>
      <c r="E14" s="1">
        <v>1.0069086143999999</v>
      </c>
    </row>
    <row r="15" spans="1:8" x14ac:dyDescent="0.3">
      <c r="A15" s="1">
        <v>92</v>
      </c>
      <c r="B15" s="1">
        <v>-0.84169445659999997</v>
      </c>
      <c r="C15" s="1">
        <v>-0.51102222770000005</v>
      </c>
      <c r="D15" s="1">
        <v>-0.22155374159999999</v>
      </c>
      <c r="E15" s="1">
        <v>1.0092964558999999</v>
      </c>
    </row>
    <row r="16" spans="1:8" x14ac:dyDescent="0.3">
      <c r="A16" s="1">
        <v>99</v>
      </c>
      <c r="B16" s="1">
        <v>-0.77187485359999997</v>
      </c>
      <c r="C16" s="1">
        <v>-0.59991965759999999</v>
      </c>
      <c r="D16" s="1">
        <v>-0.26008924960000002</v>
      </c>
      <c r="E16" s="1">
        <v>1.0116030857</v>
      </c>
    </row>
    <row r="17" spans="1:5" x14ac:dyDescent="0.3">
      <c r="A17" s="1">
        <v>106</v>
      </c>
      <c r="B17" s="1">
        <v>-0.69123927259999995</v>
      </c>
      <c r="C17" s="1">
        <v>-0.68041041069999997</v>
      </c>
      <c r="D17" s="1">
        <v>-0.29498012579999999</v>
      </c>
      <c r="E17" s="1">
        <v>1.0137964952</v>
      </c>
    </row>
    <row r="18" spans="1:5" x14ac:dyDescent="0.3">
      <c r="A18" s="1">
        <v>113</v>
      </c>
      <c r="B18" s="1">
        <v>-0.60098052690000003</v>
      </c>
      <c r="C18" s="1">
        <v>-0.75142831089999995</v>
      </c>
      <c r="D18" s="1">
        <v>-0.32576421100000003</v>
      </c>
      <c r="E18" s="1">
        <v>1.0158466525000001</v>
      </c>
    </row>
    <row r="19" spans="1:5" x14ac:dyDescent="0.3">
      <c r="A19" s="1">
        <v>120</v>
      </c>
      <c r="B19" s="1">
        <v>-0.50240592689999997</v>
      </c>
      <c r="C19" s="1">
        <v>-0.81204788400000005</v>
      </c>
      <c r="D19" s="1">
        <v>-0.35204034410000001</v>
      </c>
      <c r="E19" s="1">
        <v>1.0177258399</v>
      </c>
    </row>
    <row r="20" spans="1:5" x14ac:dyDescent="0.3">
      <c r="A20" s="1">
        <v>127</v>
      </c>
      <c r="B20" s="1">
        <v>-0.39691815149999998</v>
      </c>
      <c r="C20" s="1">
        <v>-0.86149250040000003</v>
      </c>
      <c r="D20" s="1">
        <v>-0.37347189149999999</v>
      </c>
      <c r="E20" s="1">
        <v>1.0194089469000001</v>
      </c>
    </row>
    <row r="21" spans="1:5" x14ac:dyDescent="0.3">
      <c r="A21" s="1">
        <v>134</v>
      </c>
      <c r="B21" s="1">
        <v>-0.28599602740000002</v>
      </c>
      <c r="C21" s="1">
        <v>-0.89914050420000002</v>
      </c>
      <c r="D21" s="1">
        <v>-0.38978940350000002</v>
      </c>
      <c r="E21" s="1">
        <v>1.0208737205</v>
      </c>
    </row>
    <row r="22" spans="1:5" x14ac:dyDescent="0.3">
      <c r="A22" s="1">
        <v>141</v>
      </c>
      <c r="B22" s="1">
        <v>-0.1711754077</v>
      </c>
      <c r="C22" s="1">
        <v>-0.92452949110000004</v>
      </c>
      <c r="D22" s="1">
        <v>-0.40079246810000002</v>
      </c>
      <c r="E22" s="1">
        <v>1.0221009748000001</v>
      </c>
    </row>
    <row r="23" spans="1:5" x14ac:dyDescent="0.3">
      <c r="A23" s="1">
        <v>148</v>
      </c>
      <c r="B23" s="1">
        <v>-5.4030286099999998E-2</v>
      </c>
      <c r="C23" s="1">
        <v>-0.93735889610000001</v>
      </c>
      <c r="D23" s="1">
        <v>-0.40635083259999999</v>
      </c>
      <c r="E23" s="1">
        <v>1.0230747631999999</v>
      </c>
    </row>
    <row r="24" spans="1:5" x14ac:dyDescent="0.3">
      <c r="A24" s="1">
        <v>155</v>
      </c>
      <c r="B24" s="1">
        <v>6.3845761200000004E-2</v>
      </c>
      <c r="C24" s="1">
        <v>-0.9374910393</v>
      </c>
      <c r="D24" s="1">
        <v>-0.4064048562</v>
      </c>
      <c r="E24" s="1">
        <v>1.0237825145999999</v>
      </c>
    </row>
    <row r="25" spans="1:5" x14ac:dyDescent="0.3">
      <c r="A25" s="1">
        <v>162</v>
      </c>
      <c r="B25" s="1">
        <v>0.1808577552</v>
      </c>
      <c r="C25" s="1">
        <v>-0.92495075910000002</v>
      </c>
      <c r="D25" s="1">
        <v>-0.4009653507</v>
      </c>
      <c r="E25" s="1">
        <v>1.0242151369000001</v>
      </c>
    </row>
    <row r="26" spans="1:5" x14ac:dyDescent="0.3">
      <c r="A26" s="1">
        <v>169</v>
      </c>
      <c r="B26" s="1">
        <v>0.29542709070000001</v>
      </c>
      <c r="C26" s="1">
        <v>-0.8999237363</v>
      </c>
      <c r="D26" s="1">
        <v>-0.39011285309999999</v>
      </c>
      <c r="E26" s="1">
        <v>1.0243670900999999</v>
      </c>
    </row>
    <row r="27" spans="1:5" x14ac:dyDescent="0.3">
      <c r="A27" s="1">
        <v>176</v>
      </c>
      <c r="B27" s="1">
        <v>0.40600890649999999</v>
      </c>
      <c r="C27" s="1">
        <v>-0.86275358589999995</v>
      </c>
      <c r="D27" s="1">
        <v>-0.37399636489999999</v>
      </c>
      <c r="E27" s="1">
        <v>1.0242364291999999</v>
      </c>
    </row>
    <row r="28" spans="1:5" x14ac:dyDescent="0.3">
      <c r="A28" s="1">
        <v>183</v>
      </c>
      <c r="B28" s="1">
        <v>0.51110905269999996</v>
      </c>
      <c r="C28" s="1">
        <v>-0.81393776019999997</v>
      </c>
      <c r="D28" s="1">
        <v>-0.35283157520000002</v>
      </c>
      <c r="E28" s="1">
        <v>1.0238248198</v>
      </c>
    </row>
    <row r="29" spans="1:5" x14ac:dyDescent="0.3">
      <c r="A29" s="1">
        <v>190</v>
      </c>
      <c r="B29" s="1">
        <v>0.60930066370000002</v>
      </c>
      <c r="C29" s="1">
        <v>-0.75412228219999999</v>
      </c>
      <c r="D29" s="1">
        <v>-0.3268985774</v>
      </c>
      <c r="E29" s="1">
        <v>1.0231375250000001</v>
      </c>
    </row>
    <row r="30" spans="1:5" x14ac:dyDescent="0.3">
      <c r="A30" s="1">
        <v>197</v>
      </c>
      <c r="B30" s="1">
        <v>0.69924032950000004</v>
      </c>
      <c r="C30" s="1">
        <v>-0.6840952937</v>
      </c>
      <c r="D30" s="1">
        <v>-0.29653907169999999</v>
      </c>
      <c r="E30" s="1">
        <v>1.0221833643</v>
      </c>
    </row>
    <row r="31" spans="1:5" x14ac:dyDescent="0.3">
      <c r="A31" s="1">
        <v>204</v>
      </c>
      <c r="B31" s="1">
        <v>0.77968384800000001</v>
      </c>
      <c r="C31" s="1">
        <v>-0.60477938419999999</v>
      </c>
      <c r="D31" s="1">
        <v>-0.2621530393</v>
      </c>
      <c r="E31" s="1">
        <v>1.0209746434</v>
      </c>
    </row>
    <row r="32" spans="1:5" x14ac:dyDescent="0.3">
      <c r="A32" s="1">
        <v>211</v>
      </c>
      <c r="B32" s="1">
        <v>0.84950151070000002</v>
      </c>
      <c r="C32" s="1">
        <v>-0.51722264019999997</v>
      </c>
      <c r="D32" s="1">
        <v>-0.2241948617</v>
      </c>
      <c r="E32" s="1">
        <v>1.0195270532</v>
      </c>
    </row>
    <row r="33" spans="1:5" x14ac:dyDescent="0.3">
      <c r="A33" s="1">
        <v>218</v>
      </c>
      <c r="B33" s="1">
        <v>0.90769284279999995</v>
      </c>
      <c r="C33" s="1">
        <v>-0.42258834410000001</v>
      </c>
      <c r="D33" s="1">
        <v>-0.1831688548</v>
      </c>
      <c r="E33" s="1">
        <v>1.0178595359</v>
      </c>
    </row>
    <row r="34" spans="1:5" x14ac:dyDescent="0.3">
      <c r="A34" s="1">
        <v>225</v>
      </c>
      <c r="B34" s="1">
        <v>0.95340068259999999</v>
      </c>
      <c r="C34" s="1">
        <v>-0.32214324449999998</v>
      </c>
      <c r="D34" s="1">
        <v>-0.13962418339999999</v>
      </c>
      <c r="E34" s="1">
        <v>1.0159941161999999</v>
      </c>
    </row>
    <row r="35" spans="1:5" x14ac:dyDescent="0.3">
      <c r="A35" s="1">
        <v>232</v>
      </c>
      <c r="B35" s="1">
        <v>0.98592443890000003</v>
      </c>
      <c r="C35" s="1">
        <v>-0.21724431899999999</v>
      </c>
      <c r="D35" s="1">
        <v>-9.4149123200000004E-2</v>
      </c>
      <c r="E35" s="1">
        <v>1.0139556945999999</v>
      </c>
    </row>
    <row r="36" spans="1:5" x14ac:dyDescent="0.3">
      <c r="A36" s="1">
        <v>239</v>
      </c>
      <c r="B36" s="1">
        <v>1.0047323211000001</v>
      </c>
      <c r="C36" s="1">
        <v>-0.10932396849999999</v>
      </c>
      <c r="D36" s="1">
        <v>-4.7364640899999998E-2</v>
      </c>
      <c r="E36" s="1">
        <v>1.0117718005</v>
      </c>
    </row>
    <row r="37" spans="1:5" x14ac:dyDescent="0.3">
      <c r="A37" s="1">
        <v>246</v>
      </c>
      <c r="B37" s="1">
        <v>1.009472291</v>
      </c>
      <c r="C37" s="1">
        <v>1.263991E-4</v>
      </c>
      <c r="D37" s="1">
        <v>8.2721599999999998E-5</v>
      </c>
      <c r="E37" s="1">
        <v>1.0094723023000001</v>
      </c>
    </row>
    <row r="38" spans="1:5" x14ac:dyDescent="0.3">
      <c r="A38" s="1">
        <v>253</v>
      </c>
      <c r="B38" s="1">
        <v>0.99998143989999999</v>
      </c>
      <c r="C38" s="1">
        <v>0.1095743966</v>
      </c>
      <c r="D38" s="1">
        <v>4.7528662999999999E-2</v>
      </c>
      <c r="E38" s="1">
        <v>1.0070890736</v>
      </c>
    </row>
    <row r="39" spans="1:5" x14ac:dyDescent="0.3">
      <c r="A39" s="1">
        <v>260</v>
      </c>
      <c r="B39" s="1">
        <v>0.97629345779999999</v>
      </c>
      <c r="C39" s="1">
        <v>0.2174662486</v>
      </c>
      <c r="D39" s="1">
        <v>9.4299615399999995E-2</v>
      </c>
      <c r="E39" s="1">
        <v>1.0046556139</v>
      </c>
    </row>
    <row r="40" spans="1:5" x14ac:dyDescent="0.3">
      <c r="A40" s="1">
        <v>267</v>
      </c>
      <c r="B40" s="1">
        <v>0.93864383520000005</v>
      </c>
      <c r="C40" s="1">
        <v>0.32224783550000002</v>
      </c>
      <c r="D40" s="1">
        <v>0.13972186750000001</v>
      </c>
      <c r="E40" s="1">
        <v>1.002206624</v>
      </c>
    </row>
    <row r="41" spans="1:5" x14ac:dyDescent="0.3">
      <c r="A41" s="1">
        <v>274</v>
      </c>
      <c r="B41" s="1">
        <v>0.88747242010000005</v>
      </c>
      <c r="C41" s="1">
        <v>0.42238700410000002</v>
      </c>
      <c r="D41" s="1">
        <v>0.18313123619999999</v>
      </c>
      <c r="E41" s="1">
        <v>0.99977753889999998</v>
      </c>
    </row>
    <row r="42" spans="1:5" x14ac:dyDescent="0.3">
      <c r="A42" s="1">
        <v>281</v>
      </c>
      <c r="B42" s="1">
        <v>0.82342296329999998</v>
      </c>
      <c r="C42" s="1">
        <v>0.5163968739</v>
      </c>
      <c r="D42" s="1">
        <v>0.2238831697</v>
      </c>
      <c r="E42" s="1">
        <v>0.99740402120000005</v>
      </c>
    </row>
    <row r="43" spans="1:5" x14ac:dyDescent="0.3">
      <c r="A43" s="1">
        <v>288</v>
      </c>
      <c r="B43" s="1">
        <v>0.74733930739999999</v>
      </c>
      <c r="C43" s="1">
        <v>0.60285978179999999</v>
      </c>
      <c r="D43" s="1">
        <v>0.261363128</v>
      </c>
      <c r="E43" s="1">
        <v>0.99512142049999996</v>
      </c>
    </row>
    <row r="44" spans="1:5" x14ac:dyDescent="0.3">
      <c r="A44" s="1">
        <v>295</v>
      </c>
      <c r="B44" s="1">
        <v>0.66025793119999998</v>
      </c>
      <c r="C44" s="1">
        <v>0.6804514143</v>
      </c>
      <c r="D44" s="1">
        <v>0.29499704389999998</v>
      </c>
      <c r="E44" s="1">
        <v>0.99296420819999998</v>
      </c>
    </row>
    <row r="45" spans="1:5" x14ac:dyDescent="0.3">
      <c r="A45" s="1">
        <v>302</v>
      </c>
      <c r="B45" s="1">
        <v>0.56339664020000002</v>
      </c>
      <c r="C45" s="1">
        <v>0.74796459510000002</v>
      </c>
      <c r="D45" s="1">
        <v>0.32426163470000002</v>
      </c>
      <c r="E45" s="1">
        <v>0.99096539660000005</v>
      </c>
    </row>
    <row r="46" spans="1:5" x14ac:dyDescent="0.3">
      <c r="A46" s="1">
        <v>309</v>
      </c>
      <c r="B46" s="1">
        <v>0.45813930060000002</v>
      </c>
      <c r="C46" s="1">
        <v>0.80433212610000004</v>
      </c>
      <c r="D46" s="1">
        <v>0.34869430340000002</v>
      </c>
      <c r="E46" s="1">
        <v>0.98915595590000005</v>
      </c>
    </row>
    <row r="47" spans="1:5" x14ac:dyDescent="0.3">
      <c r="A47" s="1">
        <v>316</v>
      </c>
      <c r="B47" s="1">
        <v>0.3460166489</v>
      </c>
      <c r="C47" s="1">
        <v>0.84864802819999996</v>
      </c>
      <c r="D47" s="1">
        <v>0.36790234630000002</v>
      </c>
      <c r="E47" s="1">
        <v>0.98756424269999998</v>
      </c>
    </row>
    <row r="48" spans="1:5" x14ac:dyDescent="0.3">
      <c r="A48" s="1">
        <v>323</v>
      </c>
      <c r="B48" s="1">
        <v>0.22868335640000001</v>
      </c>
      <c r="C48" s="1">
        <v>0.88018650759999995</v>
      </c>
      <c r="D48" s="1">
        <v>0.38157117439999999</v>
      </c>
      <c r="E48" s="1">
        <v>0.98621545659999998</v>
      </c>
    </row>
    <row r="49" spans="1:5" x14ac:dyDescent="0.3">
      <c r="A49" s="1">
        <v>330</v>
      </c>
      <c r="B49" s="1">
        <v>0.1078916939</v>
      </c>
      <c r="C49" s="1">
        <v>0.89841798790000005</v>
      </c>
      <c r="D49" s="1">
        <v>0.38947126209999999</v>
      </c>
      <c r="E49" s="1">
        <v>0.9851311398</v>
      </c>
    </row>
    <row r="50" spans="1:5" x14ac:dyDescent="0.3">
      <c r="A50" s="1">
        <v>337</v>
      </c>
      <c r="B50" s="1">
        <v>-1.45376976E-2</v>
      </c>
      <c r="C50" s="1">
        <v>0.9030215949</v>
      </c>
      <c r="D50" s="1">
        <v>0.39146355970000002</v>
      </c>
      <c r="E50" s="1">
        <v>0.98432873779999996</v>
      </c>
    </row>
    <row r="51" spans="1:5" x14ac:dyDescent="0.3">
      <c r="A51" s="1">
        <v>344</v>
      </c>
      <c r="B51" s="1">
        <v>-0.13674727040000001</v>
      </c>
      <c r="C51" s="1">
        <v>0.89389357380000001</v>
      </c>
      <c r="D51" s="1">
        <v>0.38750314009999998</v>
      </c>
      <c r="E51" s="1">
        <v>0.98382123420000001</v>
      </c>
    </row>
    <row r="52" spans="1:5" x14ac:dyDescent="0.3">
      <c r="A52" s="1">
        <v>351</v>
      </c>
      <c r="B52" s="1">
        <v>-0.2568754795</v>
      </c>
      <c r="C52" s="1">
        <v>0.87115124160000001</v>
      </c>
      <c r="D52" s="1">
        <v>0.37764091249999998</v>
      </c>
      <c r="E52" s="1">
        <v>0.98361687490000005</v>
      </c>
    </row>
    <row r="53" spans="1:5" x14ac:dyDescent="0.3">
      <c r="A53" s="1">
        <v>358</v>
      </c>
      <c r="B53" s="1">
        <v>-0.37309025579999999</v>
      </c>
      <c r="C53" s="1">
        <v>0.83513223319999996</v>
      </c>
      <c r="D53" s="1">
        <v>0.36202329370000003</v>
      </c>
      <c r="E53" s="1">
        <v>0.98371898989999995</v>
      </c>
    </row>
    <row r="54" spans="1:5" x14ac:dyDescent="0.3">
      <c r="A54" s="1">
        <v>365</v>
      </c>
      <c r="B54" s="1">
        <v>-0.48362210709999998</v>
      </c>
      <c r="C54" s="1">
        <v>0.78638897649999995</v>
      </c>
      <c r="D54" s="1">
        <v>0.34088981270000002</v>
      </c>
      <c r="E54" s="1">
        <v>0.98412592139999999</v>
      </c>
    </row>
    <row r="55" spans="1:5" x14ac:dyDescent="0.3">
      <c r="A55" s="1">
        <v>372</v>
      </c>
      <c r="B55" s="1">
        <v>-0.58679591109999996</v>
      </c>
      <c r="C55" s="1">
        <v>0.7256785161</v>
      </c>
      <c r="D55" s="1">
        <v>0.3145686982</v>
      </c>
      <c r="E55" s="1">
        <v>0.98483105950000005</v>
      </c>
    </row>
    <row r="56" spans="1:5" x14ac:dyDescent="0.3">
      <c r="A56" s="1">
        <v>379</v>
      </c>
      <c r="B56" s="1">
        <v>-0.68106051069999995</v>
      </c>
      <c r="C56" s="1">
        <v>0.65394798639999996</v>
      </c>
      <c r="D56" s="1">
        <v>0.28347058000000003</v>
      </c>
      <c r="E56" s="1">
        <v>0.98582298499999998</v>
      </c>
    </row>
    <row r="57" spans="1:5" x14ac:dyDescent="0.3">
      <c r="A57" s="1">
        <v>386</v>
      </c>
      <c r="B57" s="1">
        <v>-0.76501531860000005</v>
      </c>
      <c r="C57" s="1">
        <v>0.572316198</v>
      </c>
      <c r="D57" s="1">
        <v>0.24808050649999999</v>
      </c>
      <c r="E57" s="1">
        <v>0.98708571359999997</v>
      </c>
    </row>
    <row r="58" spans="1:5" x14ac:dyDescent="0.3">
      <c r="A58" s="1">
        <v>393</v>
      </c>
      <c r="B58" s="1">
        <v>-0.8374332713</v>
      </c>
      <c r="C58" s="1">
        <v>0.48205193839999999</v>
      </c>
      <c r="D58" s="1">
        <v>0.20894853660000001</v>
      </c>
      <c r="E58" s="1">
        <v>0.98859903199999999</v>
      </c>
    </row>
    <row r="59" spans="1:5" x14ac:dyDescent="0.3">
      <c r="A59" s="1">
        <v>400</v>
      </c>
      <c r="B59" s="1">
        <v>-0.89727963619999995</v>
      </c>
      <c r="C59" s="1">
        <v>0.3845496846</v>
      </c>
      <c r="D59" s="1">
        <v>0.16667921120000001</v>
      </c>
      <c r="E59" s="1">
        <v>0.99033891419999998</v>
      </c>
    </row>
    <row r="60" spans="1:5" x14ac:dyDescent="0.3">
      <c r="A60" s="1">
        <v>407</v>
      </c>
      <c r="B60" s="1">
        <v>-0.9437263588</v>
      </c>
      <c r="C60" s="1">
        <v>0.2813034868</v>
      </c>
      <c r="D60" s="1">
        <v>0.12192023070000001</v>
      </c>
      <c r="E60" s="1">
        <v>0.99227800269999999</v>
      </c>
    </row>
    <row r="61" spans="1:5" x14ac:dyDescent="0.3">
      <c r="A61" s="1">
        <v>414</v>
      </c>
      <c r="B61" s="1">
        <v>-0.97616181489999998</v>
      </c>
      <c r="C61" s="1">
        <v>0.17387979200000001</v>
      </c>
      <c r="D61" s="1">
        <v>7.5350673899999998E-2</v>
      </c>
      <c r="E61" s="1">
        <v>0.99438613980000001</v>
      </c>
    </row>
    <row r="62" spans="1:5" x14ac:dyDescent="0.3">
      <c r="A62" s="1">
        <v>421</v>
      </c>
      <c r="B62" s="1">
        <v>-0.99419601079999997</v>
      </c>
      <c r="C62" s="1">
        <v>6.3889955299999995E-2</v>
      </c>
      <c r="D62" s="1">
        <v>2.7669081299999999E-2</v>
      </c>
      <c r="E62" s="1">
        <v>0.99663093089999999</v>
      </c>
    </row>
    <row r="63" spans="1:5" x14ac:dyDescent="0.3">
      <c r="A63" s="1">
        <v>428</v>
      </c>
      <c r="B63" s="1">
        <v>-0.99766142579999995</v>
      </c>
      <c r="C63" s="1">
        <v>-4.7036872700000003E-2</v>
      </c>
      <c r="D63" s="1">
        <v>-2.0418298200000001E-2</v>
      </c>
      <c r="E63" s="1">
        <v>0.99897832549999999</v>
      </c>
    </row>
    <row r="64" spans="1:5" x14ac:dyDescent="0.3">
      <c r="A64" s="1">
        <v>435</v>
      </c>
      <c r="B64" s="1">
        <v>-0.986609819</v>
      </c>
      <c r="C64" s="1">
        <v>-0.15727988300000001</v>
      </c>
      <c r="D64" s="1">
        <v>-6.8208837999999994E-2</v>
      </c>
      <c r="E64" s="1">
        <v>1.0013932005999999</v>
      </c>
    </row>
    <row r="65" spans="1:5" x14ac:dyDescent="0.3">
      <c r="A65" s="1">
        <v>442</v>
      </c>
      <c r="B65" s="1">
        <v>-0.96130541560000005</v>
      </c>
      <c r="C65" s="1">
        <v>-0.26525126850000003</v>
      </c>
      <c r="D65" s="1">
        <v>-0.1150142239</v>
      </c>
      <c r="E65" s="1">
        <v>1.003839932</v>
      </c>
    </row>
    <row r="66" spans="1:5" x14ac:dyDescent="0.3">
      <c r="A66" s="1">
        <v>449</v>
      </c>
      <c r="B66" s="1">
        <v>-0.92221494979999996</v>
      </c>
      <c r="C66" s="1">
        <v>-0.36941902310000002</v>
      </c>
      <c r="D66" s="1">
        <v>-0.160170337</v>
      </c>
      <c r="E66" s="1">
        <v>1.0062829448999999</v>
      </c>
    </row>
    <row r="67" spans="1:5" x14ac:dyDescent="0.3">
      <c r="A67" s="1">
        <v>456</v>
      </c>
      <c r="B67" s="1">
        <v>-0.86999507180000002</v>
      </c>
      <c r="C67" s="1">
        <v>-0.46832760220000003</v>
      </c>
      <c r="D67" s="1">
        <v>-0.2030462106</v>
      </c>
      <c r="E67" s="1">
        <v>1.0086872318</v>
      </c>
    </row>
    <row r="68" spans="1:5" x14ac:dyDescent="0.3">
      <c r="A68" s="1">
        <v>463</v>
      </c>
      <c r="B68" s="1">
        <v>-0.80547762460000005</v>
      </c>
      <c r="C68" s="1">
        <v>-0.56061627859999996</v>
      </c>
      <c r="D68" s="1">
        <v>-0.243051986</v>
      </c>
      <c r="E68" s="1">
        <v>1.0110188342999999</v>
      </c>
    </row>
    <row r="69" spans="1:5" x14ac:dyDescent="0.3">
      <c r="A69" s="1">
        <v>470</v>
      </c>
      <c r="B69" s="1">
        <v>-0.72965327790000001</v>
      </c>
      <c r="C69" s="1">
        <v>-0.6450351164</v>
      </c>
      <c r="D69" s="1">
        <v>-0.27964583780000002</v>
      </c>
      <c r="E69" s="1">
        <v>1.0132452823</v>
      </c>
    </row>
    <row r="70" spans="1:5" x14ac:dyDescent="0.3">
      <c r="A70" s="1">
        <v>477</v>
      </c>
      <c r="B70" s="1">
        <v>-0.64365396249999995</v>
      </c>
      <c r="C70" s="1">
        <v>-0.72045857030000005</v>
      </c>
      <c r="D70" s="1">
        <v>-0.3123398684</v>
      </c>
      <c r="E70" s="1">
        <v>1.0153359879999999</v>
      </c>
    </row>
    <row r="71" spans="1:5" x14ac:dyDescent="0.3">
      <c r="A71" s="1">
        <v>484</v>
      </c>
      <c r="B71" s="1">
        <v>-0.54873449750000003</v>
      </c>
      <c r="C71" s="1">
        <v>-0.78589677560000004</v>
      </c>
      <c r="D71" s="1">
        <v>-0.3407050016</v>
      </c>
      <c r="E71" s="1">
        <v>1.0172625957999999</v>
      </c>
    </row>
    <row r="72" spans="1:5" x14ac:dyDescent="0.3">
      <c r="A72" s="1">
        <v>491</v>
      </c>
      <c r="B72" s="1">
        <v>-0.44625374379999999</v>
      </c>
      <c r="C72" s="1">
        <v>-0.8405046437</v>
      </c>
      <c r="D72" s="1">
        <v>-0.36437492519999998</v>
      </c>
      <c r="E72" s="1">
        <v>1.0189992865999999</v>
      </c>
    </row>
    <row r="73" spans="1:5" x14ac:dyDescent="0.3">
      <c r="A73" s="1">
        <v>498</v>
      </c>
      <c r="B73" s="1">
        <v>-0.33765555479999998</v>
      </c>
      <c r="C73" s="1">
        <v>-0.88358890499999998</v>
      </c>
      <c r="D73" s="1">
        <v>-0.38304914379999999</v>
      </c>
      <c r="E73" s="1">
        <v>1.020523039</v>
      </c>
    </row>
    <row r="74" spans="1:5" x14ac:dyDescent="0.3">
      <c r="A74" s="1">
        <v>505</v>
      </c>
      <c r="B74" s="1">
        <v>-0.22444973330000001</v>
      </c>
      <c r="C74" s="1">
        <v>-0.91461325650000003</v>
      </c>
      <c r="D74" s="1">
        <v>-0.39649520919999998</v>
      </c>
      <c r="E74" s="1">
        <v>1.0218138493</v>
      </c>
    </row>
    <row r="75" spans="1:5" x14ac:dyDescent="0.3">
      <c r="A75" s="1">
        <v>512</v>
      </c>
      <c r="B75" s="1">
        <v>-0.1081931521</v>
      </c>
      <c r="C75" s="1">
        <v>-0.93320177380000002</v>
      </c>
      <c r="D75" s="1">
        <v>-0.40455019959999999</v>
      </c>
      <c r="E75" s="1">
        <v>1.0228549129</v>
      </c>
    </row>
    <row r="76" spans="1:5" x14ac:dyDescent="0.3">
      <c r="A76" s="1">
        <v>519</v>
      </c>
      <c r="B76" s="1">
        <v>9.5288586000000005E-3</v>
      </c>
      <c r="C76" s="1">
        <v>-0.939140737</v>
      </c>
      <c r="D76" s="1">
        <v>-0.4071215104</v>
      </c>
      <c r="E76" s="1">
        <v>1.0236327697000001</v>
      </c>
    </row>
    <row r="77" spans="1:5" x14ac:dyDescent="0.3">
      <c r="A77" s="1">
        <v>526</v>
      </c>
      <c r="B77" s="1">
        <v>0.12712078960000001</v>
      </c>
      <c r="C77" s="1">
        <v>-0.93237900480000002</v>
      </c>
      <c r="D77" s="1">
        <v>-0.40418701559999998</v>
      </c>
      <c r="E77" s="1">
        <v>1.0241374163000001</v>
      </c>
    </row>
    <row r="78" spans="1:5" x14ac:dyDescent="0.3">
      <c r="A78" s="1">
        <v>533</v>
      </c>
      <c r="B78" s="1">
        <v>0.2429948663</v>
      </c>
      <c r="C78" s="1">
        <v>-0.91302704710000004</v>
      </c>
      <c r="D78" s="1">
        <v>-0.3957946484</v>
      </c>
      <c r="E78" s="1">
        <v>1.0243623857999999</v>
      </c>
    </row>
    <row r="79" spans="1:5" x14ac:dyDescent="0.3">
      <c r="A79" s="1">
        <v>540</v>
      </c>
      <c r="B79" s="1">
        <v>0.35558858500000001</v>
      </c>
      <c r="C79" s="1">
        <v>-0.88135471889999994</v>
      </c>
      <c r="D79" s="1">
        <v>-0.38206143539999998</v>
      </c>
      <c r="E79" s="1">
        <v>1.0243047997000001</v>
      </c>
    </row>
    <row r="80" spans="1:5" x14ac:dyDescent="0.3">
      <c r="A80" s="1">
        <v>547</v>
      </c>
      <c r="B80" s="1">
        <v>0.46338187549999998</v>
      </c>
      <c r="C80" s="1">
        <v>-0.8377878299</v>
      </c>
      <c r="D80" s="1">
        <v>-0.36317200900000002</v>
      </c>
      <c r="E80" s="1">
        <v>1.0239653894</v>
      </c>
    </row>
    <row r="81" spans="1:5" x14ac:dyDescent="0.3">
      <c r="A81" s="1">
        <v>554</v>
      </c>
      <c r="B81" s="1">
        <v>0.56491389550000004</v>
      </c>
      <c r="C81" s="1">
        <v>-0.78290353310000005</v>
      </c>
      <c r="D81" s="1">
        <v>-0.33937660829999999</v>
      </c>
      <c r="E81" s="1">
        <v>1.0233484908999999</v>
      </c>
    </row>
    <row r="82" spans="1:5" x14ac:dyDescent="0.3">
      <c r="A82" s="1">
        <v>561</v>
      </c>
      <c r="B82" s="1">
        <v>0.65879945569999998</v>
      </c>
      <c r="C82" s="1">
        <v>-0.71742452850000005</v>
      </c>
      <c r="D82" s="1">
        <v>-0.3109885651</v>
      </c>
      <c r="E82" s="1">
        <v>1.0224620113</v>
      </c>
    </row>
    <row r="83" spans="1:5" x14ac:dyDescent="0.3">
      <c r="A83" s="1">
        <v>568</v>
      </c>
      <c r="B83" s="1">
        <v>0.74374506279999997</v>
      </c>
      <c r="C83" s="1">
        <v>-0.64221204890000005</v>
      </c>
      <c r="D83" s="1">
        <v>-0.27838126369999999</v>
      </c>
      <c r="E83" s="1">
        <v>1.0213173659999999</v>
      </c>
    </row>
    <row r="84" spans="1:5" x14ac:dyDescent="0.3">
      <c r="A84" s="1">
        <v>575</v>
      </c>
      <c r="B84" s="1">
        <v>0.81856454199999995</v>
      </c>
      <c r="C84" s="1">
        <v>-0.55825757590000002</v>
      </c>
      <c r="D84" s="1">
        <v>-0.24198454850000001</v>
      </c>
      <c r="E84" s="1">
        <v>1.0199293859</v>
      </c>
    </row>
    <row r="85" spans="1:5" x14ac:dyDescent="0.3">
      <c r="A85" s="1">
        <v>582</v>
      </c>
      <c r="B85" s="1">
        <v>0.88219417109999998</v>
      </c>
      <c r="C85" s="1">
        <v>-0.4666732153</v>
      </c>
      <c r="D85" s="1">
        <v>-0.202280552</v>
      </c>
      <c r="E85" s="1">
        <v>1.0183161920999999</v>
      </c>
    </row>
    <row r="86" spans="1:5" x14ac:dyDescent="0.3">
      <c r="A86" s="1">
        <v>589</v>
      </c>
      <c r="B86" s="1">
        <v>0.93370722340000001</v>
      </c>
      <c r="C86" s="1">
        <v>-0.36868065100000003</v>
      </c>
      <c r="D86" s="1">
        <v>-0.15979890529999999</v>
      </c>
      <c r="E86" s="1">
        <v>1.0164990367</v>
      </c>
    </row>
    <row r="87" spans="1:5" x14ac:dyDescent="0.3">
      <c r="A87" s="1">
        <v>596</v>
      </c>
      <c r="B87" s="1">
        <v>0.9723277722</v>
      </c>
      <c r="C87" s="1">
        <v>-0.26559859740000002</v>
      </c>
      <c r="D87" s="1">
        <v>-0.1151112985</v>
      </c>
      <c r="E87" s="1">
        <v>1.0145021058000001</v>
      </c>
    </row>
    <row r="88" spans="1:5" x14ac:dyDescent="0.3">
      <c r="A88" s="1">
        <v>603</v>
      </c>
      <c r="B88" s="1">
        <v>0.99744356570000003</v>
      </c>
      <c r="C88" s="1">
        <v>-0.158828677</v>
      </c>
      <c r="D88" s="1">
        <v>-6.8825358399999995E-2</v>
      </c>
      <c r="E88" s="1">
        <v>1.0123522832</v>
      </c>
    </row>
    <row r="89" spans="1:5" x14ac:dyDescent="0.3">
      <c r="A89" s="1">
        <v>610</v>
      </c>
      <c r="B89" s="1">
        <v>1.0086177338</v>
      </c>
      <c r="C89" s="1">
        <v>-4.9839672000000002E-2</v>
      </c>
      <c r="D89" s="1">
        <v>-2.15778207E-2</v>
      </c>
      <c r="E89" s="1">
        <v>1.0100788723</v>
      </c>
    </row>
    <row r="90" spans="1:5" x14ac:dyDescent="0.3">
      <c r="A90" s="1">
        <v>617</v>
      </c>
      <c r="B90" s="1">
        <v>1.0055990435</v>
      </c>
      <c r="C90" s="1">
        <v>5.9849870600000001E-2</v>
      </c>
      <c r="D90" s="1">
        <v>2.5973010599999999E-2</v>
      </c>
      <c r="E90" s="1">
        <v>1.007713273</v>
      </c>
    </row>
    <row r="91" spans="1:5" x14ac:dyDescent="0.3">
      <c r="A91" s="1">
        <v>624</v>
      </c>
      <c r="B91" s="1">
        <v>0.98833037729999995</v>
      </c>
      <c r="C91" s="1">
        <v>0.16869065280000001</v>
      </c>
      <c r="D91" s="1">
        <v>7.3155506100000003E-2</v>
      </c>
      <c r="E91" s="1">
        <v>1.0052886148</v>
      </c>
    </row>
    <row r="92" spans="1:5" x14ac:dyDescent="0.3">
      <c r="A92" s="1">
        <v>631</v>
      </c>
      <c r="B92" s="1">
        <v>0.9569550778</v>
      </c>
      <c r="C92" s="1">
        <v>0.27512317219999999</v>
      </c>
      <c r="D92" s="1">
        <v>0.1192936186</v>
      </c>
      <c r="E92" s="1">
        <v>1.0028393432</v>
      </c>
    </row>
    <row r="93" spans="1:5" x14ac:dyDescent="0.3">
      <c r="A93" s="1">
        <v>638</v>
      </c>
      <c r="B93" s="1">
        <v>0.9118207827</v>
      </c>
      <c r="C93" s="1">
        <v>0.37759964550000003</v>
      </c>
      <c r="D93" s="1">
        <v>0.16371638650000001</v>
      </c>
      <c r="E93" s="1">
        <v>1.0004007633000001</v>
      </c>
    </row>
    <row r="94" spans="1:5" x14ac:dyDescent="0.3">
      <c r="A94" s="1">
        <v>645</v>
      </c>
      <c r="B94" s="1">
        <v>0.85348037030000001</v>
      </c>
      <c r="C94" s="1">
        <v>0.47460706720000001</v>
      </c>
      <c r="D94" s="1">
        <v>0.20576793030000001</v>
      </c>
      <c r="E94" s="1">
        <v>0.99800854299999997</v>
      </c>
    </row>
    <row r="95" spans="1:5" x14ac:dyDescent="0.3">
      <c r="A95" s="1">
        <v>652</v>
      </c>
      <c r="B95" s="1">
        <v>0.78268965509999999</v>
      </c>
      <c r="C95" s="1">
        <v>0.56469107860000001</v>
      </c>
      <c r="D95" s="1">
        <v>0.24481779989999999</v>
      </c>
      <c r="E95" s="1">
        <v>0.99569817989999998</v>
      </c>
    </row>
    <row r="96" spans="1:5" x14ac:dyDescent="0.3">
      <c r="A96" s="1">
        <v>659</v>
      </c>
      <c r="B96" s="1">
        <v>0.70040151760000002</v>
      </c>
      <c r="C96" s="1">
        <v>0.64648022569999997</v>
      </c>
      <c r="D96" s="1">
        <v>0.28027149000000001</v>
      </c>
      <c r="E96" s="1">
        <v>0.99350444189999998</v>
      </c>
    </row>
    <row r="97" spans="1:5" x14ac:dyDescent="0.3">
      <c r="A97" s="1">
        <v>666</v>
      </c>
      <c r="B97" s="1">
        <v>0.60775622299999998</v>
      </c>
      <c r="C97" s="1">
        <v>0.71871010000000002</v>
      </c>
      <c r="D97" s="1">
        <v>0.3115809055</v>
      </c>
      <c r="E97" s="1">
        <v>0.99146078849999997</v>
      </c>
    </row>
    <row r="98" spans="1:5" x14ac:dyDescent="0.3">
      <c r="A98" s="1">
        <v>673</v>
      </c>
      <c r="B98" s="1">
        <v>0.50606778009999998</v>
      </c>
      <c r="C98" s="1">
        <v>0.78024678069999998</v>
      </c>
      <c r="D98" s="1">
        <v>0.33825452280000001</v>
      </c>
      <c r="E98" s="1">
        <v>0.98959878680000002</v>
      </c>
    </row>
    <row r="99" spans="1:5" x14ac:dyDescent="0.3">
      <c r="A99" s="1">
        <v>680</v>
      </c>
      <c r="B99" s="1">
        <v>0.39680631929999999</v>
      </c>
      <c r="C99" s="1">
        <v>0.83010893409999997</v>
      </c>
      <c r="D99" s="1">
        <v>0.35986697000000001</v>
      </c>
      <c r="E99" s="1">
        <v>0.98794753589999995</v>
      </c>
    </row>
    <row r="100" spans="1:5" x14ac:dyDescent="0.3">
      <c r="A100" s="1">
        <v>687</v>
      </c>
      <c r="B100" s="1">
        <v>0.2815766126</v>
      </c>
      <c r="C100" s="1">
        <v>0.86748789900000001</v>
      </c>
      <c r="D100" s="1">
        <v>0.37606773310000002</v>
      </c>
      <c r="E100" s="1">
        <v>0.98653311330000004</v>
      </c>
    </row>
    <row r="101" spans="1:5" x14ac:dyDescent="0.3">
      <c r="A101" s="1">
        <v>694</v>
      </c>
      <c r="B101" s="1">
        <v>0.1620930189</v>
      </c>
      <c r="C101" s="1">
        <v>0.89176508080000005</v>
      </c>
      <c r="D101" s="1">
        <v>0.38658869620000003</v>
      </c>
      <c r="E101" s="1">
        <v>0.98537806260000005</v>
      </c>
    </row>
    <row r="102" spans="1:5" x14ac:dyDescent="0.3">
      <c r="A102" s="1">
        <v>701</v>
      </c>
      <c r="B102" s="1">
        <v>4.01513025E-2</v>
      </c>
      <c r="C102" s="1">
        <v>0.90252601990000003</v>
      </c>
      <c r="D102" s="1">
        <v>0.39125023860000002</v>
      </c>
      <c r="E102" s="1">
        <v>0.98450093589999998</v>
      </c>
    </row>
    <row r="103" spans="1:5" x14ac:dyDescent="0.3">
      <c r="A103" s="1">
        <v>708</v>
      </c>
      <c r="B103" s="1">
        <v>-8.2402066600000004E-2</v>
      </c>
      <c r="C103" s="1">
        <v>0.89957056899999999</v>
      </c>
      <c r="D103" s="1">
        <v>0.38996564680000001</v>
      </c>
      <c r="E103" s="1">
        <v>0.98391590839999998</v>
      </c>
    </row>
    <row r="104" spans="1:5" x14ac:dyDescent="0.3">
      <c r="A104" s="1">
        <v>715</v>
      </c>
      <c r="B104" s="1">
        <v>-0.20370238630000001</v>
      </c>
      <c r="C104" s="1">
        <v>0.88291873409999999</v>
      </c>
      <c r="D104" s="1">
        <v>0.38274364500000002</v>
      </c>
      <c r="E104" s="1">
        <v>0.98363247760000005</v>
      </c>
    </row>
    <row r="105" spans="1:5" x14ac:dyDescent="0.3">
      <c r="A105" s="1">
        <v>722</v>
      </c>
      <c r="B105" s="1">
        <v>-0.32190011470000002</v>
      </c>
      <c r="C105" s="1">
        <v>0.8528118737</v>
      </c>
      <c r="D105" s="1">
        <v>0.3696889143</v>
      </c>
      <c r="E105" s="1">
        <v>0.98365525929999997</v>
      </c>
    </row>
    <row r="106" spans="1:5" x14ac:dyDescent="0.3">
      <c r="A106" s="1">
        <v>729</v>
      </c>
      <c r="B106" s="1">
        <v>-0.43519425769999998</v>
      </c>
      <c r="C106" s="1">
        <v>0.80970912530000005</v>
      </c>
      <c r="D106" s="1">
        <v>0.35100054289999999</v>
      </c>
      <c r="E106" s="1">
        <v>0.98398388739999998</v>
      </c>
    </row>
    <row r="107" spans="1:5" x14ac:dyDescent="0.3">
      <c r="A107" s="1">
        <v>736</v>
      </c>
      <c r="B107" s="1">
        <v>-0.54186481090000005</v>
      </c>
      <c r="C107" s="1">
        <v>0.75427911069999998</v>
      </c>
      <c r="D107" s="1">
        <v>0.32696842879999999</v>
      </c>
      <c r="E107" s="1">
        <v>0.98461302220000002</v>
      </c>
    </row>
    <row r="108" spans="1:5" x14ac:dyDescent="0.3">
      <c r="A108" s="1">
        <v>743</v>
      </c>
      <c r="B108" s="1">
        <v>-0.64030334219999996</v>
      </c>
      <c r="C108" s="1">
        <v>0.68738715250000004</v>
      </c>
      <c r="D108" s="1">
        <v>0.29796773789999997</v>
      </c>
      <c r="E108" s="1">
        <v>0.98553246530000005</v>
      </c>
    </row>
    <row r="109" spans="1:5" x14ac:dyDescent="0.3">
      <c r="A109" s="1">
        <v>750</v>
      </c>
      <c r="B109" s="1">
        <v>-0.72904088160000002</v>
      </c>
      <c r="C109" s="1">
        <v>0.61007841159999998</v>
      </c>
      <c r="D109" s="1">
        <v>0.26445159280000002</v>
      </c>
      <c r="E109" s="1">
        <v>0.98672737889999995</v>
      </c>
    </row>
    <row r="110" spans="1:5" x14ac:dyDescent="0.3">
      <c r="A110" s="1">
        <v>757</v>
      </c>
      <c r="B110" s="1">
        <v>-0.80677240630000002</v>
      </c>
      <c r="C110" s="1">
        <v>0.52355749549999997</v>
      </c>
      <c r="D110" s="1">
        <v>0.22694223229999999</v>
      </c>
      <c r="E110" s="1">
        <v>0.98817859900000005</v>
      </c>
    </row>
    <row r="111" spans="1:5" x14ac:dyDescent="0.3">
      <c r="A111" s="1">
        <v>764</v>
      </c>
      <c r="B111" s="1">
        <v>-0.87237736359999996</v>
      </c>
      <c r="C111" s="1">
        <v>0.42916520409999998</v>
      </c>
      <c r="D111" s="1">
        <v>0.18602093040000001</v>
      </c>
      <c r="E111" s="1">
        <v>0.98986303269999998</v>
      </c>
    </row>
    <row r="112" spans="1:5" x14ac:dyDescent="0.3">
      <c r="A112" s="1">
        <v>771</v>
      </c>
      <c r="B112" s="1">
        <v>-0.92493584910000004</v>
      </c>
      <c r="C112" s="1">
        <v>0.32835315040000002</v>
      </c>
      <c r="D112" s="1">
        <v>0.1423169933</v>
      </c>
      <c r="E112" s="1">
        <v>0.99175412419999998</v>
      </c>
    </row>
    <row r="113" spans="1:5" x14ac:dyDescent="0.3">
      <c r="A113" s="1">
        <v>778</v>
      </c>
      <c r="B113" s="1">
        <v>-0.96374024069999997</v>
      </c>
      <c r="C113" s="1">
        <v>0.22265702509999999</v>
      </c>
      <c r="D113" s="1">
        <v>9.6496169600000001E-2</v>
      </c>
      <c r="E113" s="1">
        <v>0.99382237510000004</v>
      </c>
    </row>
    <row r="114" spans="1:5" x14ac:dyDescent="0.3">
      <c r="A114" s="1">
        <v>785</v>
      </c>
      <c r="B114" s="1">
        <v>-0.98830226720000003</v>
      </c>
      <c r="C114" s="1">
        <v>0.1136692592</v>
      </c>
      <c r="D114" s="1">
        <v>4.9248798599999997E-2</v>
      </c>
      <c r="E114" s="1">
        <v>0.99603590090000005</v>
      </c>
    </row>
    <row r="115" spans="1:5" x14ac:dyDescent="0.3">
      <c r="A115" s="1">
        <v>792</v>
      </c>
      <c r="B115" s="1">
        <v>-0.99835564919999997</v>
      </c>
      <c r="C115" s="1">
        <v>3.0117963999999999E-3</v>
      </c>
      <c r="D115" s="1">
        <v>1.2780078999999999E-3</v>
      </c>
      <c r="E115" s="1">
        <v>0.9983610101</v>
      </c>
    </row>
    <row r="116" spans="1:5" x14ac:dyDescent="0.3">
      <c r="A116" s="1">
        <v>799</v>
      </c>
      <c r="B116" s="1">
        <v>-0.99385458979999997</v>
      </c>
      <c r="C116" s="1">
        <v>-0.1076903947</v>
      </c>
      <c r="D116" s="1">
        <v>-4.6711770100000001E-2</v>
      </c>
      <c r="E116" s="1">
        <v>1.0007627872</v>
      </c>
    </row>
    <row r="117" spans="1:5" x14ac:dyDescent="0.3">
      <c r="A117" s="1">
        <v>806</v>
      </c>
      <c r="B117" s="1">
        <v>-0.97496849460000001</v>
      </c>
      <c r="C117" s="1">
        <v>-0.21683453059999999</v>
      </c>
      <c r="D117" s="1">
        <v>-9.4025726099999998E-2</v>
      </c>
      <c r="E117" s="1">
        <v>1.00320567</v>
      </c>
    </row>
    <row r="118" spans="1:5" x14ac:dyDescent="0.3">
      <c r="A118" s="1">
        <v>813</v>
      </c>
      <c r="B118" s="1">
        <v>-0.94207337430000004</v>
      </c>
      <c r="C118" s="1">
        <v>-0.32286352159999998</v>
      </c>
      <c r="D118" s="1">
        <v>-0.13998886520000001</v>
      </c>
      <c r="E118" s="1">
        <v>1.0056540054000001</v>
      </c>
    </row>
    <row r="119" spans="1:5" x14ac:dyDescent="0.3">
      <c r="A119" s="1">
        <v>820</v>
      </c>
      <c r="B119" s="1">
        <v>-0.89574042590000003</v>
      </c>
      <c r="C119" s="1">
        <v>-0.42428746229999997</v>
      </c>
      <c r="D119" s="1">
        <v>-0.18395532219999999</v>
      </c>
      <c r="E119" s="1">
        <v>1.0080725776999999</v>
      </c>
    </row>
    <row r="120" spans="1:5" x14ac:dyDescent="0.3">
      <c r="A120" s="1">
        <v>827</v>
      </c>
      <c r="B120" s="1">
        <v>-0.83672229549999999</v>
      </c>
      <c r="C120" s="1">
        <v>-0.51970289879999998</v>
      </c>
      <c r="D120" s="1">
        <v>-0.22531671440000001</v>
      </c>
      <c r="E120" s="1">
        <v>1.0104271001</v>
      </c>
    </row>
    <row r="121" spans="1:5" x14ac:dyDescent="0.3">
      <c r="A121" s="1">
        <v>834</v>
      </c>
      <c r="B121" s="1">
        <v>-0.76593751349999994</v>
      </c>
      <c r="C121" s="1">
        <v>-0.60780976369999995</v>
      </c>
      <c r="D121" s="1">
        <v>-0.26350948219999998</v>
      </c>
      <c r="E121" s="1">
        <v>1.0126846650000001</v>
      </c>
    </row>
    <row r="122" spans="1:5" x14ac:dyDescent="0.3">
      <c r="A122" s="1">
        <v>841</v>
      </c>
      <c r="B122" s="1">
        <v>-0.68445356030000004</v>
      </c>
      <c r="C122" s="1">
        <v>-0.68742595480000002</v>
      </c>
      <c r="D122" s="1">
        <v>-0.29802120830000001</v>
      </c>
      <c r="E122" s="1">
        <v>1.0148141505999999</v>
      </c>
    </row>
    <row r="123" spans="1:5" x14ac:dyDescent="0.3">
      <c r="A123" s="1">
        <v>848</v>
      </c>
      <c r="B123" s="1">
        <v>-0.59346896859999998</v>
      </c>
      <c r="C123" s="1">
        <v>-0.75749960149999995</v>
      </c>
      <c r="D123" s="1">
        <v>-0.3283959353</v>
      </c>
      <c r="E123" s="1">
        <v>1.0167865819999999</v>
      </c>
    </row>
    <row r="124" spans="1:5" x14ac:dyDescent="0.3">
      <c r="A124" s="1">
        <v>855</v>
      </c>
      <c r="B124" s="1">
        <v>-0.49429481510000001</v>
      </c>
      <c r="C124" s="1">
        <v>-0.81711911449999997</v>
      </c>
      <c r="D124" s="1">
        <v>-0.35423852119999999</v>
      </c>
      <c r="E124" s="1">
        <v>1.0185754470999999</v>
      </c>
    </row>
    <row r="125" spans="1:5" x14ac:dyDescent="0.3">
      <c r="A125" s="1">
        <v>862</v>
      </c>
      <c r="B125" s="1">
        <v>-0.38833589200000002</v>
      </c>
      <c r="C125" s="1">
        <v>-0.86552114960000004</v>
      </c>
      <c r="D125" s="1">
        <v>-0.37521809179999999</v>
      </c>
      <c r="E125" s="1">
        <v>1.0201569692000001</v>
      </c>
    </row>
    <row r="126" spans="1:5" x14ac:dyDescent="0.3">
      <c r="A126" s="1">
        <v>869</v>
      </c>
      <c r="B126" s="1">
        <v>-0.27707178809999999</v>
      </c>
      <c r="C126" s="1">
        <v>-0.90209663439999999</v>
      </c>
      <c r="D126" s="1">
        <v>-0.3910706525</v>
      </c>
      <c r="E126" s="1">
        <v>1.021510337</v>
      </c>
    </row>
    <row r="127" spans="1:5" x14ac:dyDescent="0.3">
      <c r="A127" s="1">
        <v>876</v>
      </c>
      <c r="B127" s="1">
        <v>-0.1620380521</v>
      </c>
      <c r="C127" s="1">
        <v>-0.92639501599999996</v>
      </c>
      <c r="D127" s="1">
        <v>-0.40160092879999998</v>
      </c>
      <c r="E127" s="1">
        <v>1.0226178963999999</v>
      </c>
    </row>
    <row r="128" spans="1:5" x14ac:dyDescent="0.3">
      <c r="A128" s="1">
        <v>883</v>
      </c>
      <c r="B128" s="1">
        <v>-4.4807561500000002E-2</v>
      </c>
      <c r="C128" s="1">
        <v>-0.93812687900000002</v>
      </c>
      <c r="D128" s="1">
        <v>-0.40668350149999999</v>
      </c>
      <c r="E128" s="1">
        <v>1.0234653042999999</v>
      </c>
    </row>
    <row r="129" spans="1:5" x14ac:dyDescent="0.3">
      <c r="A129" s="1">
        <v>890</v>
      </c>
      <c r="B129" s="1">
        <v>7.3027827099999998E-2</v>
      </c>
      <c r="C129" s="1">
        <v>-0.93716507230000001</v>
      </c>
      <c r="D129" s="1">
        <v>-0.406263294</v>
      </c>
      <c r="E129" s="1">
        <v>1.0240416497</v>
      </c>
    </row>
    <row r="130" spans="1:5" x14ac:dyDescent="0.3">
      <c r="A130" s="1">
        <v>897</v>
      </c>
      <c r="B130" s="1">
        <v>0.18987530010000001</v>
      </c>
      <c r="C130" s="1">
        <v>-0.92354445979999999</v>
      </c>
      <c r="D130" s="1">
        <v>-0.4003554641</v>
      </c>
      <c r="E130" s="1">
        <v>1.0243395416000001</v>
      </c>
    </row>
    <row r="131" spans="1:5" x14ac:dyDescent="0.3">
      <c r="A131" s="1">
        <v>904</v>
      </c>
      <c r="B131" s="1">
        <v>0.30415876650000001</v>
      </c>
      <c r="C131" s="1">
        <v>-0.89746038669999995</v>
      </c>
      <c r="D131" s="1">
        <v>-0.38904473830000003</v>
      </c>
      <c r="E131" s="1">
        <v>1.0243551676</v>
      </c>
    </row>
    <row r="132" spans="1:5" x14ac:dyDescent="0.3">
      <c r="A132" s="1">
        <v>911</v>
      </c>
      <c r="B132" s="1">
        <v>0.41433619059999999</v>
      </c>
      <c r="C132" s="1">
        <v>-0.85926592199999996</v>
      </c>
      <c r="D132" s="1">
        <v>-0.37248421640000001</v>
      </c>
      <c r="E132" s="1">
        <v>1.0240883238</v>
      </c>
    </row>
    <row r="133" spans="1:5" x14ac:dyDescent="0.3">
      <c r="A133" s="1">
        <v>918</v>
      </c>
      <c r="B133" s="1">
        <v>0.51891658490000003</v>
      </c>
      <c r="C133" s="1">
        <v>-0.8094679092</v>
      </c>
      <c r="D133" s="1">
        <v>-0.35089365849999998</v>
      </c>
      <c r="E133" s="1">
        <v>1.0235424162</v>
      </c>
    </row>
    <row r="134" spans="1:5" x14ac:dyDescent="0.3">
      <c r="A134" s="1">
        <v>925</v>
      </c>
      <c r="B134" s="1">
        <v>0.61647666410000002</v>
      </c>
      <c r="C134" s="1">
        <v>-0.74872182909999996</v>
      </c>
      <c r="D134" s="1">
        <v>-0.32455725790000001</v>
      </c>
      <c r="E134" s="1">
        <v>1.0227244342999999</v>
      </c>
    </row>
    <row r="135" spans="1:5" x14ac:dyDescent="0.3">
      <c r="A135" s="1">
        <v>932</v>
      </c>
      <c r="B135" s="1">
        <v>0.70567715180000001</v>
      </c>
      <c r="C135" s="1">
        <v>-0.677825448</v>
      </c>
      <c r="D135" s="1">
        <v>-0.29382088699999998</v>
      </c>
      <c r="E135" s="1">
        <v>1.0216448963</v>
      </c>
    </row>
    <row r="136" spans="1:5" x14ac:dyDescent="0.3">
      <c r="A136" s="1">
        <v>939</v>
      </c>
      <c r="B136" s="1">
        <v>0.78527871010000005</v>
      </c>
      <c r="C136" s="1">
        <v>-0.59771120369999997</v>
      </c>
      <c r="D136" s="1">
        <v>-0.25908879620000003</v>
      </c>
      <c r="E136" s="1">
        <v>1.0203177642000001</v>
      </c>
    </row>
    <row r="137" spans="1:5" x14ac:dyDescent="0.3">
      <c r="A137" s="1">
        <v>946</v>
      </c>
      <c r="B137" s="1">
        <v>0.85415743509999997</v>
      </c>
      <c r="C137" s="1">
        <v>-0.50943726229999997</v>
      </c>
      <c r="D137" s="1">
        <v>-0.22081973620000001</v>
      </c>
      <c r="E137" s="1">
        <v>1.0187603270000001</v>
      </c>
    </row>
    <row r="138" spans="1:5" x14ac:dyDescent="0.3">
      <c r="A138" s="1">
        <v>953</v>
      </c>
      <c r="B138" s="1">
        <v>0.91131982629999997</v>
      </c>
      <c r="C138" s="1">
        <v>-0.41417716300000001</v>
      </c>
      <c r="D138" s="1">
        <v>-0.17952246920000001</v>
      </c>
      <c r="E138" s="1">
        <v>1.0169930506</v>
      </c>
    </row>
    <row r="139" spans="1:5" x14ac:dyDescent="0.3">
      <c r="A139" s="1">
        <v>960</v>
      </c>
      <c r="B139" s="1">
        <v>0.95591709810000003</v>
      </c>
      <c r="C139" s="1">
        <v>-0.31320797020000002</v>
      </c>
      <c r="D139" s="1">
        <v>-0.1357506319</v>
      </c>
      <c r="E139" s="1">
        <v>1.0150393908999999</v>
      </c>
    </row>
    <row r="140" spans="1:5" x14ac:dyDescent="0.3">
      <c r="A140" s="1">
        <v>967</v>
      </c>
      <c r="B140" s="1">
        <v>0.98725865479999997</v>
      </c>
      <c r="C140" s="1">
        <v>-0.20789684950000001</v>
      </c>
      <c r="D140" s="1">
        <v>-9.0096915799999996E-2</v>
      </c>
      <c r="E140" s="1">
        <v>1.0129255677</v>
      </c>
    </row>
    <row r="141" spans="1:5" x14ac:dyDescent="0.3">
      <c r="A141" s="1">
        <v>974</v>
      </c>
      <c r="B141" s="1">
        <v>1.0048245057</v>
      </c>
      <c r="C141" s="1">
        <v>-9.9686007199999996E-2</v>
      </c>
      <c r="D141" s="1">
        <v>-4.3186538300000001E-2</v>
      </c>
      <c r="E141" s="1">
        <v>1.0106802978</v>
      </c>
    </row>
    <row r="142" spans="1:5" x14ac:dyDescent="0.3">
      <c r="A142" s="1">
        <v>981</v>
      </c>
      <c r="B142" s="1">
        <v>1.0082763483999999</v>
      </c>
      <c r="C142" s="1">
        <v>9.9240434000000006E-3</v>
      </c>
      <c r="D142" s="1">
        <v>4.3300118000000002E-3</v>
      </c>
      <c r="E142" s="1">
        <v>1.0083344834000001</v>
      </c>
    </row>
    <row r="143" spans="1:5" x14ac:dyDescent="0.3">
      <c r="A143" s="1">
        <v>988</v>
      </c>
      <c r="B143" s="1">
        <v>0.99746700639999997</v>
      </c>
      <c r="C143" s="1">
        <v>0.1193928804</v>
      </c>
      <c r="D143" s="1">
        <v>5.1784950699999999E-2</v>
      </c>
      <c r="E143" s="1">
        <v>1.0059208566</v>
      </c>
    </row>
    <row r="144" spans="1:5" x14ac:dyDescent="0.3">
      <c r="A144" s="1">
        <v>995</v>
      </c>
      <c r="B144" s="1">
        <v>0.97244786839999997</v>
      </c>
      <c r="C144" s="1">
        <v>0.2271601775</v>
      </c>
      <c r="D144" s="1">
        <v>9.8501871199999994E-2</v>
      </c>
      <c r="E144" s="1">
        <v>1.0034735779999999</v>
      </c>
    </row>
    <row r="145" spans="1:5" x14ac:dyDescent="0.3">
      <c r="A145" s="1">
        <v>1002</v>
      </c>
      <c r="B145" s="1">
        <v>0.93347395509999997</v>
      </c>
      <c r="C145" s="1">
        <v>0.33166718119999999</v>
      </c>
      <c r="D145" s="1">
        <v>0.14380505369999999</v>
      </c>
      <c r="E145" s="1">
        <v>1.0010277905</v>
      </c>
    </row>
    <row r="146" spans="1:5" x14ac:dyDescent="0.3">
      <c r="A146" s="1">
        <v>1009</v>
      </c>
      <c r="B146" s="1">
        <v>0.88100622549999996</v>
      </c>
      <c r="C146" s="1">
        <v>0.43137945490000001</v>
      </c>
      <c r="D146" s="1">
        <v>0.18702932559999999</v>
      </c>
      <c r="E146" s="1">
        <v>0.99861913270000002</v>
      </c>
    </row>
    <row r="147" spans="1:5" x14ac:dyDescent="0.3">
      <c r="A147" s="1">
        <v>1016</v>
      </c>
      <c r="B147" s="1">
        <v>0.8157107509</v>
      </c>
      <c r="C147" s="1">
        <v>0.52481059210000003</v>
      </c>
      <c r="D147" s="1">
        <v>0.2275303414</v>
      </c>
      <c r="E147" s="1">
        <v>0.9962832143</v>
      </c>
    </row>
    <row r="148" spans="1:5" x14ac:dyDescent="0.3">
      <c r="A148" s="1">
        <v>1023</v>
      </c>
      <c r="B148" s="1">
        <v>0.73845441329999995</v>
      </c>
      <c r="C148" s="1">
        <v>0.61054651140000005</v>
      </c>
      <c r="D148" s="1">
        <v>0.26469511439999999</v>
      </c>
      <c r="E148" s="1">
        <v>0.99405506219999995</v>
      </c>
    </row>
    <row r="149" spans="1:5" x14ac:dyDescent="0.3">
      <c r="A149" s="1">
        <v>1030</v>
      </c>
      <c r="B149" s="1">
        <v>0.65029685100000001</v>
      </c>
      <c r="C149" s="1">
        <v>0.68726985500000004</v>
      </c>
      <c r="D149" s="1">
        <v>0.29795259340000002</v>
      </c>
      <c r="E149" s="1">
        <v>0.99196854580000005</v>
      </c>
    </row>
    <row r="150" spans="1:5" x14ac:dyDescent="0.3">
      <c r="A150" s="1">
        <v>1037</v>
      </c>
      <c r="B150" s="1">
        <v>0.55247846140000001</v>
      </c>
      <c r="C150" s="1">
        <v>0.7537839301</v>
      </c>
      <c r="D150" s="1">
        <v>0.32678404080000001</v>
      </c>
      <c r="E150" s="1">
        <v>0.9900557928</v>
      </c>
    </row>
    <row r="151" spans="1:5" x14ac:dyDescent="0.3">
      <c r="A151" s="1">
        <v>1044</v>
      </c>
      <c r="B151" s="1">
        <v>0.44640438710000002</v>
      </c>
      <c r="C151" s="1">
        <v>0.80903556590000003</v>
      </c>
      <c r="D151" s="1">
        <v>0.35073294129999999</v>
      </c>
      <c r="E151" s="1">
        <v>0.98834660919999995</v>
      </c>
    </row>
    <row r="152" spans="1:5" x14ac:dyDescent="0.3">
      <c r="A152" s="1">
        <v>1051</v>
      </c>
      <c r="B152" s="1">
        <v>0.33362455219999998</v>
      </c>
      <c r="C152" s="1">
        <v>0.85213621760000002</v>
      </c>
      <c r="D152" s="1">
        <v>0.3694141494</v>
      </c>
      <c r="E152" s="1">
        <v>0.98686791870000001</v>
      </c>
    </row>
    <row r="153" spans="1:5" x14ac:dyDescent="0.3">
      <c r="A153" s="1">
        <v>1058</v>
      </c>
      <c r="B153" s="1">
        <v>0.21580997169999999</v>
      </c>
      <c r="C153" s="1">
        <v>0.88238063310000003</v>
      </c>
      <c r="D153" s="1">
        <v>0.38252198160000001</v>
      </c>
      <c r="E153" s="1">
        <v>0.98564323760000006</v>
      </c>
    </row>
    <row r="154" spans="1:5" x14ac:dyDescent="0.3">
      <c r="A154" s="1">
        <v>1065</v>
      </c>
      <c r="B154" s="1">
        <v>9.4725723100000006E-2</v>
      </c>
      <c r="C154" s="1">
        <v>0.89926242519999999</v>
      </c>
      <c r="D154" s="1">
        <v>0.3898369653</v>
      </c>
      <c r="E154" s="1">
        <v>0.98469220140000002</v>
      </c>
    </row>
    <row r="155" spans="1:5" x14ac:dyDescent="0.3">
      <c r="A155" s="1">
        <v>1072</v>
      </c>
      <c r="B155" s="1">
        <v>-2.7798868500000001E-2</v>
      </c>
      <c r="C155" s="1">
        <v>0.90248594969999996</v>
      </c>
      <c r="D155" s="1">
        <v>0.39123098820000002</v>
      </c>
      <c r="E155" s="1">
        <v>0.98403015839999997</v>
      </c>
    </row>
    <row r="156" spans="1:5" x14ac:dyDescent="0.3">
      <c r="A156" s="1">
        <v>1079</v>
      </c>
      <c r="B156" s="1">
        <v>-0.1499021314</v>
      </c>
      <c r="C156" s="1">
        <v>0.89197399470000005</v>
      </c>
      <c r="D156" s="1">
        <v>0.38667063000000002</v>
      </c>
      <c r="E156" s="1">
        <v>0.98366784659999995</v>
      </c>
    </row>
    <row r="157" spans="1:5" x14ac:dyDescent="0.3">
      <c r="A157" s="1">
        <v>1086</v>
      </c>
      <c r="B157" s="1">
        <v>-0.26972321510000002</v>
      </c>
      <c r="C157" s="1">
        <v>0.86787091800000005</v>
      </c>
      <c r="D157" s="1">
        <v>0.37621852189999999</v>
      </c>
      <c r="E157" s="1">
        <v>0.98361116270000004</v>
      </c>
    </row>
    <row r="158" spans="1:5" x14ac:dyDescent="0.3">
      <c r="A158" s="1">
        <v>1093</v>
      </c>
      <c r="B158" s="1">
        <v>-0.38543561920000002</v>
      </c>
      <c r="C158" s="1">
        <v>0.83054103609999996</v>
      </c>
      <c r="D158" s="1">
        <v>0.36003264740000002</v>
      </c>
      <c r="E158" s="1">
        <v>0.9838610351</v>
      </c>
    </row>
    <row r="159" spans="1:5" x14ac:dyDescent="0.3">
      <c r="A159" s="1">
        <v>1100</v>
      </c>
      <c r="B159" s="1">
        <v>-0.4952801423</v>
      </c>
      <c r="C159" s="1">
        <v>0.7805622458</v>
      </c>
      <c r="D159" s="1">
        <v>0.338363576</v>
      </c>
      <c r="E159" s="1">
        <v>0.98441340320000004</v>
      </c>
    </row>
    <row r="160" spans="1:5" x14ac:dyDescent="0.3">
      <c r="A160" s="1">
        <v>1107</v>
      </c>
      <c r="B160" s="1">
        <v>-0.59759632100000004</v>
      </c>
      <c r="C160" s="1">
        <v>0.718715047</v>
      </c>
      <c r="D160" s="1">
        <v>0.31154970389999997</v>
      </c>
      <c r="E160" s="1">
        <v>0.98525930579999998</v>
      </c>
    </row>
    <row r="161" spans="1:5" x14ac:dyDescent="0.3">
      <c r="A161" s="1">
        <v>1114</v>
      </c>
      <c r="B161" s="1">
        <v>-0.69085149069999996</v>
      </c>
      <c r="C161" s="1">
        <v>0.64596731080000003</v>
      </c>
      <c r="D161" s="1">
        <v>0.28001065009999998</v>
      </c>
      <c r="E161" s="1">
        <v>0.98638507340000003</v>
      </c>
    </row>
    <row r="162" spans="1:5" x14ac:dyDescent="0.3">
      <c r="A162" s="1">
        <v>1121</v>
      </c>
      <c r="B162" s="1">
        <v>-0.77366670879999999</v>
      </c>
      <c r="C162" s="1">
        <v>0.56345529429999996</v>
      </c>
      <c r="D162" s="1">
        <v>0.24423902510000001</v>
      </c>
      <c r="E162" s="1">
        <v>0.98777261869999999</v>
      </c>
    </row>
    <row r="163" spans="1:5" x14ac:dyDescent="0.3">
      <c r="A163" s="1">
        <v>1128</v>
      </c>
      <c r="B163" s="1">
        <v>-0.84483892230000002</v>
      </c>
      <c r="C163" s="1">
        <v>0.47246152870000002</v>
      </c>
      <c r="D163" s="1">
        <v>0.20479084559999999</v>
      </c>
      <c r="E163" s="1">
        <v>0.98939981359999996</v>
      </c>
    </row>
    <row r="164" spans="1:5" x14ac:dyDescent="0.3">
      <c r="A164" s="1">
        <v>1135</v>
      </c>
      <c r="B164" s="1">
        <v>-0.90335893320000005</v>
      </c>
      <c r="C164" s="1">
        <v>0.3743902952</v>
      </c>
      <c r="D164" s="1">
        <v>0.16227490159999999</v>
      </c>
      <c r="E164" s="1">
        <v>0.99124093889999998</v>
      </c>
    </row>
    <row r="165" spans="1:5" x14ac:dyDescent="0.3">
      <c r="A165" s="1">
        <v>1142</v>
      </c>
      <c r="B165" s="1">
        <v>-0.94842489379999995</v>
      </c>
      <c r="C165" s="1">
        <v>0.27074144579999998</v>
      </c>
      <c r="D165" s="1">
        <v>0.11734140799999999</v>
      </c>
      <c r="E165" s="1">
        <v>0.99326719249999995</v>
      </c>
    </row>
    <row r="166" spans="1:5" x14ac:dyDescent="0.3">
      <c r="A166" s="1">
        <v>1149</v>
      </c>
      <c r="B166" s="1">
        <v>-0.97945124660000005</v>
      </c>
      <c r="C166" s="1">
        <v>0.16308333180000001</v>
      </c>
      <c r="D166" s="1">
        <v>7.0670268300000005E-2</v>
      </c>
      <c r="E166" s="1">
        <v>0.99544723840000005</v>
      </c>
    </row>
    <row r="167" spans="1:5" x14ac:dyDescent="0.3">
      <c r="A167" s="1">
        <v>1156</v>
      </c>
      <c r="B167" s="1">
        <v>-0.99607318860000005</v>
      </c>
      <c r="C167" s="1">
        <v>5.30255668E-2</v>
      </c>
      <c r="D167" s="1">
        <v>2.29592676E-2</v>
      </c>
      <c r="E167" s="1">
        <v>0.9977477817</v>
      </c>
    </row>
    <row r="168" spans="1:5" x14ac:dyDescent="0.3">
      <c r="A168" s="1">
        <v>1163</v>
      </c>
      <c r="B168" s="1">
        <v>-0.99814688659999995</v>
      </c>
      <c r="C168" s="1">
        <v>-5.7807716500000002E-2</v>
      </c>
      <c r="D168" s="1">
        <v>-2.5087521299999999E-2</v>
      </c>
      <c r="E168" s="1">
        <v>1.0001341526</v>
      </c>
    </row>
    <row r="169" spans="1:5" x14ac:dyDescent="0.3">
      <c r="A169" s="1">
        <v>1170</v>
      </c>
      <c r="B169" s="1">
        <v>-0.98574578489999998</v>
      </c>
      <c r="C169" s="1">
        <v>-0.16780354510000001</v>
      </c>
      <c r="D169" s="1">
        <v>-7.2770869399999993E-2</v>
      </c>
      <c r="E169" s="1">
        <v>1.002570886</v>
      </c>
    </row>
    <row r="170" spans="1:5" x14ac:dyDescent="0.3">
      <c r="A170" s="1">
        <v>1177</v>
      </c>
      <c r="B170" s="1">
        <v>-0.95915343239999995</v>
      </c>
      <c r="C170" s="1">
        <v>-0.27538425579999998</v>
      </c>
      <c r="D170" s="1">
        <v>-0.1194068604</v>
      </c>
      <c r="E170" s="1">
        <v>1.0050222850999999</v>
      </c>
    </row>
    <row r="171" spans="1:5" x14ac:dyDescent="0.3">
      <c r="A171" s="1">
        <v>1184</v>
      </c>
      <c r="B171" s="1">
        <v>-0.91885330720000002</v>
      </c>
      <c r="C171" s="1">
        <v>-0.37902976230000002</v>
      </c>
      <c r="D171" s="1">
        <v>-0.16433654319999999</v>
      </c>
      <c r="E171" s="1">
        <v>1.0074529568999999</v>
      </c>
    </row>
    <row r="172" spans="1:5" x14ac:dyDescent="0.3">
      <c r="A172" s="1">
        <v>1191</v>
      </c>
      <c r="B172" s="1">
        <v>-0.86551613599999999</v>
      </c>
      <c r="C172" s="1">
        <v>-0.47729769389999999</v>
      </c>
      <c r="D172" s="1">
        <v>-0.2069346621</v>
      </c>
      <c r="E172" s="1">
        <v>1.0098283145</v>
      </c>
    </row>
    <row r="173" spans="1:5" x14ac:dyDescent="0.3">
      <c r="A173" s="1">
        <v>1198</v>
      </c>
      <c r="B173" s="1">
        <v>-0.79998520299999998</v>
      </c>
      <c r="C173" s="1">
        <v>-0.56884126339999996</v>
      </c>
      <c r="D173" s="1">
        <v>-0.24661740230000001</v>
      </c>
      <c r="E173" s="1">
        <v>1.0121150383999999</v>
      </c>
    </row>
    <row r="174" spans="1:5" x14ac:dyDescent="0.3">
      <c r="A174" s="1">
        <v>1205</v>
      </c>
      <c r="B174" s="1">
        <v>-0.72326011339999996</v>
      </c>
      <c r="C174" s="1">
        <v>-0.65242480889999999</v>
      </c>
      <c r="D174" s="1">
        <v>-0.28284912620000002</v>
      </c>
      <c r="E174" s="1">
        <v>1.0142814950000001</v>
      </c>
    </row>
    <row r="175" spans="1:5" x14ac:dyDescent="0.3">
      <c r="A175" s="1">
        <v>1212</v>
      </c>
      <c r="B175" s="1">
        <v>-0.63647943500000004</v>
      </c>
      <c r="C175" s="1">
        <v>-0.7269370288</v>
      </c>
      <c r="D175" s="1">
        <v>-0.31514811110000002</v>
      </c>
      <c r="E175" s="1">
        <v>1.0162981093000001</v>
      </c>
    </row>
    <row r="176" spans="1:5" x14ac:dyDescent="0.3">
      <c r="A176" s="1">
        <v>1219</v>
      </c>
      <c r="B176" s="1">
        <v>-0.54090258589999995</v>
      </c>
      <c r="C176" s="1">
        <v>-0.7914019846</v>
      </c>
      <c r="D176" s="1">
        <v>-0.34309131799999998</v>
      </c>
      <c r="E176" s="1">
        <v>1.0181376927000001</v>
      </c>
    </row>
    <row r="177" spans="1:5" x14ac:dyDescent="0.3">
      <c r="A177" s="1">
        <v>1226</v>
      </c>
      <c r="B177" s="1">
        <v>-0.43789127890000001</v>
      </c>
      <c r="C177" s="1">
        <v>-0.84498799030000005</v>
      </c>
      <c r="D177" s="1">
        <v>-0.36631824499999999</v>
      </c>
      <c r="E177" s="1">
        <v>1.0197757265</v>
      </c>
    </row>
    <row r="178" spans="1:5" x14ac:dyDescent="0.3">
      <c r="A178" s="1">
        <v>1233</v>
      </c>
      <c r="B178" s="1">
        <v>-0.32889077189999999</v>
      </c>
      <c r="C178" s="1">
        <v>-0.88701452650000001</v>
      </c>
      <c r="D178" s="1">
        <v>-0.38453392380000001</v>
      </c>
      <c r="E178" s="1">
        <v>1.0211906034</v>
      </c>
    </row>
    <row r="179" spans="1:5" x14ac:dyDescent="0.3">
      <c r="A179" s="1">
        <v>1240</v>
      </c>
      <c r="B179" s="1">
        <v>-0.21541111569999999</v>
      </c>
      <c r="C179" s="1">
        <v>-0.91695733369999999</v>
      </c>
      <c r="D179" s="1">
        <v>-0.39751112719999998</v>
      </c>
      <c r="E179" s="1">
        <v>1.022363828</v>
      </c>
    </row>
    <row r="180" spans="1:5" x14ac:dyDescent="0.3">
      <c r="A180" s="1">
        <v>1247</v>
      </c>
      <c r="B180" s="1">
        <v>-9.9008537499999993E-2</v>
      </c>
      <c r="C180" s="1">
        <v>-0.93445183369999996</v>
      </c>
      <c r="D180" s="1">
        <v>-0.40509185219999999</v>
      </c>
      <c r="E180" s="1">
        <v>1.0232801810000001</v>
      </c>
    </row>
    <row r="181" spans="1:5" x14ac:dyDescent="0.3">
      <c r="A181" s="1">
        <v>1254</v>
      </c>
      <c r="B181" s="1">
        <v>1.87329473E-2</v>
      </c>
      <c r="C181" s="1">
        <v>-0.93929502009999999</v>
      </c>
      <c r="D181" s="1">
        <v>-0.40718813819999999</v>
      </c>
      <c r="E181" s="1">
        <v>1.023927848</v>
      </c>
    </row>
    <row r="182" spans="1:5" x14ac:dyDescent="0.3">
      <c r="A182" s="1">
        <v>1261</v>
      </c>
      <c r="B182" s="1">
        <v>0.1362196396</v>
      </c>
      <c r="C182" s="1">
        <v>-0.93144593779999996</v>
      </c>
      <c r="D182" s="1">
        <v>-0.40378227500000002</v>
      </c>
      <c r="E182" s="1">
        <v>1.0242985165</v>
      </c>
    </row>
    <row r="183" spans="1:5" x14ac:dyDescent="0.3">
      <c r="A183" s="1">
        <v>1268</v>
      </c>
      <c r="B183" s="1">
        <v>0.25186595340000001</v>
      </c>
      <c r="C183" s="1">
        <v>-0.91102484979999998</v>
      </c>
      <c r="D183" s="1">
        <v>-0.39492644129999999</v>
      </c>
      <c r="E183" s="1">
        <v>1.0243874411</v>
      </c>
    </row>
    <row r="184" spans="1:5" x14ac:dyDescent="0.3">
      <c r="A184" s="1">
        <v>1275</v>
      </c>
      <c r="B184" s="1">
        <v>0.36411189490000001</v>
      </c>
      <c r="C184" s="1">
        <v>-0.87831116050000002</v>
      </c>
      <c r="D184" s="1">
        <v>-0.38074180320000001</v>
      </c>
      <c r="E184" s="1">
        <v>1.0241934814</v>
      </c>
    </row>
    <row r="185" spans="1:5" x14ac:dyDescent="0.3">
      <c r="A185" s="1">
        <v>1282</v>
      </c>
      <c r="B185" s="1">
        <v>0.47144023029999998</v>
      </c>
      <c r="C185" s="1">
        <v>-0.83374013459999996</v>
      </c>
      <c r="D185" s="1">
        <v>-0.36141709179999998</v>
      </c>
      <c r="E185" s="1">
        <v>1.0237191104000001</v>
      </c>
    </row>
    <row r="186" spans="1:5" x14ac:dyDescent="0.3">
      <c r="A186" s="1">
        <v>1289</v>
      </c>
      <c r="B186" s="1">
        <v>0.57239334379999995</v>
      </c>
      <c r="C186" s="1">
        <v>-0.77789842310000001</v>
      </c>
      <c r="D186" s="1">
        <v>-0.3372066634</v>
      </c>
      <c r="E186" s="1">
        <v>1.0229703957</v>
      </c>
    </row>
    <row r="187" spans="1:5" x14ac:dyDescent="0.3">
      <c r="A187" s="1">
        <v>1296</v>
      </c>
      <c r="B187" s="1">
        <v>0.66558978160000004</v>
      </c>
      <c r="C187" s="1">
        <v>-0.71151837760000003</v>
      </c>
      <c r="D187" s="1">
        <v>-0.30842803400000002</v>
      </c>
      <c r="E187" s="1">
        <v>1.0219569518</v>
      </c>
    </row>
    <row r="188" spans="1:5" x14ac:dyDescent="0.3">
      <c r="A188" s="1">
        <v>1303</v>
      </c>
      <c r="B188" s="1">
        <v>0.74974046039999998</v>
      </c>
      <c r="C188" s="1">
        <v>-0.63547111040000004</v>
      </c>
      <c r="D188" s="1">
        <v>-0.27545887029999999</v>
      </c>
      <c r="E188" s="1">
        <v>1.0206918630999999</v>
      </c>
    </row>
    <row r="189" spans="1:5" x14ac:dyDescent="0.3">
      <c r="A189" s="1">
        <v>1310</v>
      </c>
      <c r="B189" s="1">
        <v>0.82366449139999998</v>
      </c>
      <c r="C189" s="1">
        <v>-0.55075823509999999</v>
      </c>
      <c r="D189" s="1">
        <v>-0.23873340909999999</v>
      </c>
      <c r="E189" s="1">
        <v>1.0191915760000001</v>
      </c>
    </row>
    <row r="190" spans="1:5" x14ac:dyDescent="0.3">
      <c r="A190" s="1">
        <v>1317</v>
      </c>
      <c r="B190" s="1">
        <v>0.88630454140000003</v>
      </c>
      <c r="C190" s="1">
        <v>-0.45850221019999998</v>
      </c>
      <c r="D190" s="1">
        <v>-0.19873827050000001</v>
      </c>
      <c r="E190" s="1">
        <v>1.0174757574</v>
      </c>
    </row>
    <row r="191" spans="1:5" x14ac:dyDescent="0.3">
      <c r="A191" s="1">
        <v>1324</v>
      </c>
      <c r="B191" s="1">
        <v>0.93674161030000003</v>
      </c>
      <c r="C191" s="1">
        <v>-0.35993519680000002</v>
      </c>
      <c r="D191" s="1">
        <v>-0.15600762730000001</v>
      </c>
      <c r="E191" s="1">
        <v>1.0155671175000001</v>
      </c>
    </row>
    <row r="192" spans="1:5" x14ac:dyDescent="0.3">
      <c r="A192" s="1">
        <v>1331</v>
      </c>
      <c r="B192" s="1">
        <v>0.97420906350000003</v>
      </c>
      <c r="C192" s="1">
        <v>-0.25638634739999999</v>
      </c>
      <c r="D192" s="1">
        <v>-0.1111176943</v>
      </c>
      <c r="E192" s="1">
        <v>1.0134911941</v>
      </c>
    </row>
    <row r="193" spans="1:5" x14ac:dyDescent="0.3">
      <c r="A193" s="1">
        <v>1338</v>
      </c>
      <c r="B193" s="1">
        <v>0.99810570769999996</v>
      </c>
      <c r="C193" s="1">
        <v>-0.14926745050000001</v>
      </c>
      <c r="D193" s="1">
        <v>-6.4680504999999999E-2</v>
      </c>
      <c r="E193" s="1">
        <v>1.0112760965000001</v>
      </c>
    </row>
    <row r="194" spans="1:5" x14ac:dyDescent="0.3">
      <c r="A194" s="1">
        <v>1345</v>
      </c>
      <c r="B194" s="1">
        <v>1.0080076536</v>
      </c>
      <c r="C194" s="1">
        <v>-4.0056884100000002E-2</v>
      </c>
      <c r="D194" s="1">
        <v>-1.7336954599999999E-2</v>
      </c>
      <c r="E194" s="1">
        <v>1.0089522058</v>
      </c>
    </row>
    <row r="195" spans="1:5" x14ac:dyDescent="0.3">
      <c r="A195" s="1">
        <v>1352</v>
      </c>
      <c r="B195" s="1">
        <v>1.0036786599</v>
      </c>
      <c r="C195" s="1">
        <v>6.9718136099999994E-2</v>
      </c>
      <c r="D195" s="1">
        <v>3.0250895399999998E-2</v>
      </c>
      <c r="E195" s="1">
        <v>1.0065518305000001</v>
      </c>
    </row>
    <row r="196" spans="1:5" x14ac:dyDescent="0.3">
      <c r="A196" s="1">
        <v>1359</v>
      </c>
      <c r="B196" s="1">
        <v>0.98507861799999996</v>
      </c>
      <c r="C196" s="1">
        <v>0.17850097240000001</v>
      </c>
      <c r="D196" s="1">
        <v>7.7408234300000003E-2</v>
      </c>
      <c r="E196" s="1">
        <v>1.0041088166000001</v>
      </c>
    </row>
    <row r="197" spans="1:5" x14ac:dyDescent="0.3">
      <c r="A197" s="1">
        <v>1366</v>
      </c>
      <c r="B197" s="1">
        <v>0.95236980159999995</v>
      </c>
      <c r="C197" s="1">
        <v>0.28472654460000002</v>
      </c>
      <c r="D197" s="1">
        <v>0.1234565973</v>
      </c>
      <c r="E197" s="1">
        <v>1.0016581132</v>
      </c>
    </row>
    <row r="198" spans="1:5" x14ac:dyDescent="0.3">
      <c r="A198" s="1">
        <v>1373</v>
      </c>
      <c r="B198" s="1">
        <v>0.9059204931</v>
      </c>
      <c r="C198" s="1">
        <v>0.38684369369999999</v>
      </c>
      <c r="D198" s="1">
        <v>0.1677235601</v>
      </c>
      <c r="E198" s="1">
        <v>0.99923529550000001</v>
      </c>
    </row>
    <row r="199" spans="1:5" x14ac:dyDescent="0.3">
      <c r="A199" s="1">
        <v>1380</v>
      </c>
      <c r="B199" s="1">
        <v>0.84630559979999997</v>
      </c>
      <c r="C199" s="1">
        <v>0.48333866390000002</v>
      </c>
      <c r="D199" s="1">
        <v>0.2095529186</v>
      </c>
      <c r="E199" s="1">
        <v>0.99687604939999996</v>
      </c>
    </row>
    <row r="200" spans="1:5" x14ac:dyDescent="0.3">
      <c r="A200" s="1">
        <v>1387</v>
      </c>
      <c r="B200" s="1">
        <v>0.7743038995</v>
      </c>
      <c r="C200" s="1">
        <v>0.57275934939999995</v>
      </c>
      <c r="D200" s="1">
        <v>0.24831519990000001</v>
      </c>
      <c r="E200" s="1">
        <v>0.99461562410000004</v>
      </c>
    </row>
    <row r="201" spans="1:5" x14ac:dyDescent="0.3">
      <c r="A201" s="1">
        <v>1394</v>
      </c>
      <c r="B201" s="1">
        <v>0.69089160620000001</v>
      </c>
      <c r="C201" s="1">
        <v>0.65373985560000003</v>
      </c>
      <c r="D201" s="1">
        <v>0.28341830950000002</v>
      </c>
      <c r="E201" s="1">
        <v>0.99248826109999999</v>
      </c>
    </row>
    <row r="202" spans="1:5" x14ac:dyDescent="0.3">
      <c r="A202" s="1">
        <v>1401</v>
      </c>
      <c r="B202" s="1">
        <v>0.59723202649999996</v>
      </c>
      <c r="C202" s="1">
        <v>0.72502483949999996</v>
      </c>
      <c r="D202" s="1">
        <v>0.31431808259999999</v>
      </c>
      <c r="E202" s="1">
        <v>0.9905266117</v>
      </c>
    </row>
    <row r="203" spans="1:5" x14ac:dyDescent="0.3">
      <c r="A203" s="1">
        <v>1408</v>
      </c>
      <c r="B203" s="1">
        <v>0.49466118549999999</v>
      </c>
      <c r="C203" s="1">
        <v>0.7854930215</v>
      </c>
      <c r="D203" s="1">
        <v>0.3405284764</v>
      </c>
      <c r="E203" s="1">
        <v>0.98876115340000004</v>
      </c>
    </row>
    <row r="204" spans="1:5" x14ac:dyDescent="0.3">
      <c r="A204" s="1">
        <v>1415</v>
      </c>
      <c r="B204" s="1">
        <v>0.38466943190000003</v>
      </c>
      <c r="C204" s="1">
        <v>0.83417920649999999</v>
      </c>
      <c r="D204" s="1">
        <v>0.36163111570000001</v>
      </c>
      <c r="E204" s="1">
        <v>0.9872196231</v>
      </c>
    </row>
    <row r="205" spans="1:5" x14ac:dyDescent="0.3">
      <c r="A205" s="1">
        <v>1422</v>
      </c>
      <c r="B205" s="1">
        <v>0.26887918760000001</v>
      </c>
      <c r="C205" s="1">
        <v>0.87029412829999997</v>
      </c>
      <c r="D205" s="1">
        <v>0.37728389499999998</v>
      </c>
      <c r="E205" s="1">
        <v>0.98592648039999997</v>
      </c>
    </row>
    <row r="206" spans="1:5" x14ac:dyDescent="0.3">
      <c r="A206" s="1">
        <v>1429</v>
      </c>
      <c r="B206" s="1">
        <v>0.14901916900000001</v>
      </c>
      <c r="C206" s="1">
        <v>0.89324144120000004</v>
      </c>
      <c r="D206" s="1">
        <v>0.38722834340000001</v>
      </c>
      <c r="E206" s="1">
        <v>0.98490241899999997</v>
      </c>
    </row>
    <row r="207" spans="1:5" x14ac:dyDescent="0.3">
      <c r="A207" s="1">
        <v>1436</v>
      </c>
      <c r="B207" s="1">
        <v>2.68955736E-2</v>
      </c>
      <c r="C207" s="1">
        <v>0.90263123059999995</v>
      </c>
      <c r="D207" s="1">
        <v>0.39129548120000002</v>
      </c>
      <c r="E207" s="1">
        <v>0.98416394159999998</v>
      </c>
    </row>
    <row r="208" spans="1:5" x14ac:dyDescent="0.3">
      <c r="A208" s="1">
        <v>1443</v>
      </c>
      <c r="B208" s="1">
        <v>-9.5639117600000004E-2</v>
      </c>
      <c r="C208" s="1">
        <v>0.89828950249999995</v>
      </c>
      <c r="D208" s="1">
        <v>0.38940993239999999</v>
      </c>
      <c r="E208" s="1">
        <v>0.98372301309999999</v>
      </c>
    </row>
    <row r="209" spans="1:5" x14ac:dyDescent="0.3">
      <c r="A209" s="1">
        <v>1450</v>
      </c>
      <c r="B209" s="1">
        <v>-0.2167189414</v>
      </c>
      <c r="C209" s="1">
        <v>0.88026323470000001</v>
      </c>
      <c r="D209" s="1">
        <v>0.38159211380000002</v>
      </c>
      <c r="E209" s="1">
        <v>0.98358680509999996</v>
      </c>
    </row>
    <row r="210" spans="1:5" x14ac:dyDescent="0.3">
      <c r="A210" s="1">
        <v>1457</v>
      </c>
      <c r="B210" s="1">
        <v>-0.3344979763</v>
      </c>
      <c r="C210" s="1">
        <v>0.84882072850000001</v>
      </c>
      <c r="D210" s="1">
        <v>0.3679583863</v>
      </c>
      <c r="E210" s="1">
        <v>0.9837575409</v>
      </c>
    </row>
    <row r="211" spans="1:5" x14ac:dyDescent="0.3">
      <c r="A211" s="1">
        <v>1464</v>
      </c>
      <c r="B211" s="1">
        <v>-0.44718365469999999</v>
      </c>
      <c r="C211" s="1">
        <v>0.80444717440000002</v>
      </c>
      <c r="D211" s="1">
        <v>0.34871913160000001</v>
      </c>
      <c r="E211" s="1">
        <v>0.98423244720000003</v>
      </c>
    </row>
    <row r="212" spans="1:5" x14ac:dyDescent="0.3">
      <c r="A212" s="3"/>
      <c r="B212" s="3"/>
      <c r="C212" s="3"/>
      <c r="D212" s="4" t="s">
        <v>1</v>
      </c>
      <c r="E212" s="3">
        <f>AVERAGE(dt_7[r (Distance in AU)])</f>
        <v>1.0041072942147624</v>
      </c>
    </row>
  </sheetData>
  <mergeCells count="2">
    <mergeCell ref="G3:G5"/>
    <mergeCell ref="H3:H5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8E9C-2173-4234-B4DF-355216F64A1D}">
  <dimension ref="A1:H108"/>
  <sheetViews>
    <sheetView topLeftCell="A82" workbookViewId="0">
      <selection activeCell="G41" sqref="G41"/>
    </sheetView>
  </sheetViews>
  <sheetFormatPr defaultRowHeight="14.4" x14ac:dyDescent="0.3"/>
  <cols>
    <col min="1" max="1" width="11.44140625" bestFit="1" customWidth="1"/>
    <col min="2" max="3" width="19" bestFit="1" customWidth="1"/>
    <col min="4" max="4" width="18.88671875" bestFit="1" customWidth="1"/>
    <col min="5" max="5" width="21.109375" bestFit="1" customWidth="1"/>
    <col min="7" max="7" width="14.44140625" bestFit="1" customWidth="1"/>
    <col min="8" max="8" width="43" bestFit="1" customWidth="1"/>
  </cols>
  <sheetData>
    <row r="1" spans="1:8" x14ac:dyDescent="0.3">
      <c r="A1" s="3" t="s">
        <v>6</v>
      </c>
      <c r="B1" t="s">
        <v>5</v>
      </c>
      <c r="C1" t="s">
        <v>4</v>
      </c>
      <c r="D1" t="s">
        <v>3</v>
      </c>
      <c r="E1" s="3" t="s">
        <v>2</v>
      </c>
    </row>
    <row r="2" spans="1:8" x14ac:dyDescent="0.3">
      <c r="A2" s="1">
        <v>1</v>
      </c>
      <c r="B2" s="1">
        <v>-0.53057153609999996</v>
      </c>
      <c r="C2" s="1">
        <v>0.76065220509999998</v>
      </c>
      <c r="D2" s="1">
        <v>0.3297315066</v>
      </c>
      <c r="E2" s="1">
        <v>0.98428694920000004</v>
      </c>
    </row>
    <row r="3" spans="1:8" x14ac:dyDescent="0.3">
      <c r="A3" s="1">
        <v>15</v>
      </c>
      <c r="B3" s="1">
        <v>-0.72123527890000005</v>
      </c>
      <c r="C3" s="1">
        <v>0.61747328349999997</v>
      </c>
      <c r="D3" s="1">
        <v>0.26765751920000003</v>
      </c>
      <c r="E3" s="1">
        <v>0.98645533649999995</v>
      </c>
      <c r="G3" s="29" t="s">
        <v>11</v>
      </c>
      <c r="H3" s="29"/>
    </row>
    <row r="4" spans="1:8" x14ac:dyDescent="0.3">
      <c r="A4" s="1">
        <v>29</v>
      </c>
      <c r="B4" s="1">
        <v>-0.86831121739999995</v>
      </c>
      <c r="C4" s="1">
        <v>0.43696610850000001</v>
      </c>
      <c r="D4" s="1">
        <v>0.1894027704</v>
      </c>
      <c r="E4" s="1">
        <v>0.99034194070000003</v>
      </c>
      <c r="G4" s="29"/>
      <c r="H4" s="29"/>
    </row>
    <row r="5" spans="1:8" x14ac:dyDescent="0.3">
      <c r="A5" s="1">
        <v>43</v>
      </c>
      <c r="B5" s="1">
        <v>-0.9635190763</v>
      </c>
      <c r="C5" s="1">
        <v>0.23034857850000001</v>
      </c>
      <c r="D5" s="1">
        <v>9.9830499000000003E-2</v>
      </c>
      <c r="E5" s="1">
        <v>0.99568850880000004</v>
      </c>
      <c r="G5" s="29"/>
      <c r="H5" s="29"/>
    </row>
    <row r="6" spans="1:8" x14ac:dyDescent="0.3">
      <c r="A6" s="1">
        <v>57</v>
      </c>
      <c r="B6" s="1">
        <v>-1.0020878157999999</v>
      </c>
      <c r="C6" s="1">
        <v>1.01840549E-2</v>
      </c>
      <c r="D6" s="1">
        <v>4.3871112999999996E-3</v>
      </c>
      <c r="E6" s="1">
        <v>1.0021491667</v>
      </c>
      <c r="G6" s="5" t="s">
        <v>9</v>
      </c>
      <c r="H6" s="5" t="s">
        <v>12</v>
      </c>
    </row>
    <row r="7" spans="1:8" x14ac:dyDescent="0.3">
      <c r="A7" s="1">
        <v>71</v>
      </c>
      <c r="B7" s="1">
        <v>-0.98287776969999996</v>
      </c>
      <c r="C7" s="1">
        <v>-0.21057208999999999</v>
      </c>
      <c r="D7" s="1">
        <v>-9.1311148499999994E-2</v>
      </c>
      <c r="E7" s="1">
        <v>1.0093200886</v>
      </c>
      <c r="G7" s="5" t="s">
        <v>10</v>
      </c>
      <c r="H7" s="5" t="s">
        <v>13</v>
      </c>
    </row>
    <row r="8" spans="1:8" x14ac:dyDescent="0.3">
      <c r="A8" s="1">
        <v>85</v>
      </c>
      <c r="B8" s="1">
        <v>-0.90819346030000003</v>
      </c>
      <c r="C8" s="1">
        <v>-0.4194460659</v>
      </c>
      <c r="D8" s="1">
        <v>-0.18185689939999999</v>
      </c>
      <c r="E8" s="1">
        <v>1.0167705225000001</v>
      </c>
      <c r="G8" s="5" t="s">
        <v>7</v>
      </c>
      <c r="H8" s="6">
        <f>ABS((dt_14[[#Totals],[r (Distance in AU)]]-horizons_results_fin_use___Copy__2[[#Totals],[r (Distance in AU)]])/horizons_results_fin_use___Copy__2[[#Totals],[r (Distance in AU)]])</f>
        <v>1.5133378165677178E-2</v>
      </c>
    </row>
    <row r="9" spans="1:8" x14ac:dyDescent="0.3">
      <c r="A9" s="1">
        <v>99</v>
      </c>
      <c r="B9" s="1">
        <v>-0.78336822319999999</v>
      </c>
      <c r="C9" s="1">
        <v>-0.60516339929999996</v>
      </c>
      <c r="D9" s="1">
        <v>-0.26236275339999998</v>
      </c>
      <c r="E9" s="1">
        <v>1.0240716417</v>
      </c>
    </row>
    <row r="10" spans="1:8" x14ac:dyDescent="0.3">
      <c r="A10" s="1">
        <v>113</v>
      </c>
      <c r="B10" s="1">
        <v>-0.61621327930000003</v>
      </c>
      <c r="C10" s="1">
        <v>-0.75817891120000003</v>
      </c>
      <c r="D10" s="1">
        <v>-0.32869104830000001</v>
      </c>
      <c r="E10" s="1">
        <v>1.0308209699999999</v>
      </c>
    </row>
    <row r="11" spans="1:8" x14ac:dyDescent="0.3">
      <c r="A11" s="1">
        <v>127</v>
      </c>
      <c r="B11" s="1">
        <v>-0.41641319440000002</v>
      </c>
      <c r="C11" s="1">
        <v>-0.87102359439999999</v>
      </c>
      <c r="D11" s="1">
        <v>-0.3776042034</v>
      </c>
      <c r="E11" s="1">
        <v>1.0366614611</v>
      </c>
    </row>
    <row r="12" spans="1:8" ht="15.6" x14ac:dyDescent="0.3">
      <c r="A12" s="1">
        <v>141</v>
      </c>
      <c r="B12" s="1">
        <v>-0.1949269508</v>
      </c>
      <c r="C12" s="1">
        <v>-0.93849588070000001</v>
      </c>
      <c r="D12" s="1">
        <v>-0.40684761850000001</v>
      </c>
      <c r="E12" s="1">
        <v>1.0412953562</v>
      </c>
      <c r="G12" s="24"/>
    </row>
    <row r="13" spans="1:8" x14ac:dyDescent="0.3">
      <c r="A13" s="1">
        <v>155</v>
      </c>
      <c r="B13" s="1">
        <v>3.6571421899999998E-2</v>
      </c>
      <c r="C13" s="1">
        <v>-0.95773384230000003</v>
      </c>
      <c r="D13" s="1">
        <v>-0.41518095780000003</v>
      </c>
      <c r="E13" s="1">
        <v>1.0444935659000001</v>
      </c>
    </row>
    <row r="14" spans="1:8" x14ac:dyDescent="0.3">
      <c r="A14" s="1">
        <v>169</v>
      </c>
      <c r="B14" s="1">
        <v>0.26620040049999999</v>
      </c>
      <c r="C14" s="1">
        <v>-0.92820350070000002</v>
      </c>
      <c r="D14" s="1">
        <v>-0.40237306789999999</v>
      </c>
      <c r="E14" s="1">
        <v>1.0461015618</v>
      </c>
    </row>
    <row r="15" spans="1:8" x14ac:dyDescent="0.3">
      <c r="A15" s="1">
        <v>183</v>
      </c>
      <c r="B15" s="1">
        <v>0.48232989059999998</v>
      </c>
      <c r="C15" s="1">
        <v>-0.85163074360000002</v>
      </c>
      <c r="D15" s="1">
        <v>-0.3691724508</v>
      </c>
      <c r="E15" s="1">
        <v>1.0460427071</v>
      </c>
    </row>
    <row r="16" spans="1:8" x14ac:dyDescent="0.3">
      <c r="A16" s="1">
        <v>197</v>
      </c>
      <c r="B16" s="1">
        <v>0.67400358810000005</v>
      </c>
      <c r="C16" s="1">
        <v>-0.73189379509999997</v>
      </c>
      <c r="D16" s="1">
        <v>-0.31726063729999998</v>
      </c>
      <c r="E16" s="1">
        <v>1.0443197192</v>
      </c>
    </row>
    <row r="17" spans="1:5" x14ac:dyDescent="0.3">
      <c r="A17" s="1">
        <v>211</v>
      </c>
      <c r="B17" s="1">
        <v>0.83133989850000001</v>
      </c>
      <c r="C17" s="1">
        <v>-0.57488198020000003</v>
      </c>
      <c r="D17" s="1">
        <v>-0.24919094980000001</v>
      </c>
      <c r="E17" s="1">
        <v>1.041014624</v>
      </c>
    </row>
    <row r="18" spans="1:5" x14ac:dyDescent="0.3">
      <c r="A18" s="1">
        <v>225</v>
      </c>
      <c r="B18" s="1">
        <v>0.94592461650000004</v>
      </c>
      <c r="C18" s="1">
        <v>-0.3883159914</v>
      </c>
      <c r="D18" s="1">
        <v>-0.16831057660000001</v>
      </c>
      <c r="E18" s="1">
        <v>1.0362871897000001</v>
      </c>
    </row>
    <row r="19" spans="1:5" x14ac:dyDescent="0.3">
      <c r="A19" s="1">
        <v>239</v>
      </c>
      <c r="B19" s="1">
        <v>1.0112022135000001</v>
      </c>
      <c r="C19" s="1">
        <v>-0.1815159019</v>
      </c>
      <c r="D19" s="1">
        <v>-7.8659992799999995E-2</v>
      </c>
      <c r="E19" s="1">
        <v>1.0303714543</v>
      </c>
    </row>
    <row r="20" spans="1:5" x14ac:dyDescent="0.3">
      <c r="A20" s="1">
        <v>253</v>
      </c>
      <c r="B20" s="1">
        <v>1.0228620466</v>
      </c>
      <c r="C20" s="1">
        <v>3.4903216700000003E-2</v>
      </c>
      <c r="D20" s="1">
        <v>1.5159000400000001E-2</v>
      </c>
      <c r="E20" s="1">
        <v>1.0235696343</v>
      </c>
    </row>
    <row r="21" spans="1:5" x14ac:dyDescent="0.3">
      <c r="A21" s="1">
        <v>267</v>
      </c>
      <c r="B21" s="1">
        <v>0.97920140769999997</v>
      </c>
      <c r="C21" s="1">
        <v>0.24943049470000001</v>
      </c>
      <c r="D21" s="1">
        <v>0.10815634170000001</v>
      </c>
      <c r="E21" s="1">
        <v>1.0162424725000001</v>
      </c>
    </row>
    <row r="22" spans="1:5" x14ac:dyDescent="0.3">
      <c r="A22" s="1">
        <v>281</v>
      </c>
      <c r="B22" s="1">
        <v>0.88143020480000001</v>
      </c>
      <c r="C22" s="1">
        <v>0.45017175710000001</v>
      </c>
      <c r="D22" s="1">
        <v>0.19517588559999999</v>
      </c>
      <c r="E22" s="1">
        <v>1.0087950452000001</v>
      </c>
    </row>
    <row r="23" spans="1:5" x14ac:dyDescent="0.3">
      <c r="A23" s="1">
        <v>295</v>
      </c>
      <c r="B23" s="1">
        <v>0.73386496899999998</v>
      </c>
      <c r="C23" s="1">
        <v>0.62548125489999995</v>
      </c>
      <c r="D23" s="1">
        <v>0.27116926660000001</v>
      </c>
      <c r="E23" s="1">
        <v>1.0016573087</v>
      </c>
    </row>
    <row r="24" spans="1:5" x14ac:dyDescent="0.3">
      <c r="A24" s="1">
        <v>309</v>
      </c>
      <c r="B24" s="1">
        <v>0.54394787889999996</v>
      </c>
      <c r="C24" s="1">
        <v>0.76469608529999999</v>
      </c>
      <c r="D24" s="1">
        <v>0.33151427369999997</v>
      </c>
      <c r="E24" s="1">
        <v>0.99525931869999995</v>
      </c>
    </row>
    <row r="25" spans="1:5" x14ac:dyDescent="0.3">
      <c r="A25" s="1">
        <v>323</v>
      </c>
      <c r="B25" s="1">
        <v>0.32202662199999998</v>
      </c>
      <c r="C25" s="1">
        <v>0.85892564950000005</v>
      </c>
      <c r="D25" s="1">
        <v>0.37235707820000002</v>
      </c>
      <c r="E25" s="1">
        <v>0.99000212639999996</v>
      </c>
    </row>
    <row r="26" spans="1:5" x14ac:dyDescent="0.3">
      <c r="A26" s="1">
        <v>337</v>
      </c>
      <c r="B26" s="1">
        <v>8.0850143999999999E-2</v>
      </c>
      <c r="C26" s="1">
        <v>0.90181477669999999</v>
      </c>
      <c r="D26" s="1">
        <v>0.39094303740000003</v>
      </c>
      <c r="E26" s="1">
        <v>0.98622669600000001</v>
      </c>
    </row>
    <row r="27" spans="1:5" x14ac:dyDescent="0.3">
      <c r="A27" s="1">
        <v>351</v>
      </c>
      <c r="B27" s="1">
        <v>-0.1652234306</v>
      </c>
      <c r="C27" s="1">
        <v>0.89017376029999995</v>
      </c>
      <c r="D27" s="1">
        <v>0.38588979629999998</v>
      </c>
      <c r="E27" s="1">
        <v>0.98418445440000002</v>
      </c>
    </row>
    <row r="28" spans="1:5" x14ac:dyDescent="0.3">
      <c r="A28" s="1">
        <v>365</v>
      </c>
      <c r="B28" s="1">
        <v>-0.4012527749</v>
      </c>
      <c r="C28" s="1">
        <v>0.82436457770000005</v>
      </c>
      <c r="D28" s="1">
        <v>0.35735468710000001</v>
      </c>
      <c r="E28" s="1">
        <v>0.98401377970000004</v>
      </c>
    </row>
    <row r="29" spans="1:5" x14ac:dyDescent="0.3">
      <c r="A29" s="1">
        <v>379</v>
      </c>
      <c r="B29" s="1">
        <v>-0.61286082190000002</v>
      </c>
      <c r="C29" s="1">
        <v>0.70835894560000001</v>
      </c>
      <c r="D29" s="1">
        <v>0.30705986470000002</v>
      </c>
      <c r="E29" s="1">
        <v>0.98572640389999999</v>
      </c>
    </row>
    <row r="30" spans="1:5" x14ac:dyDescent="0.3">
      <c r="A30" s="1">
        <v>393</v>
      </c>
      <c r="B30" s="1">
        <v>-0.78735309939999998</v>
      </c>
      <c r="C30" s="1">
        <v>0.54943859480000001</v>
      </c>
      <c r="D30" s="1">
        <v>0.23816234359999999</v>
      </c>
      <c r="E30" s="1">
        <v>0.9892062345</v>
      </c>
    </row>
    <row r="31" spans="1:5" x14ac:dyDescent="0.3">
      <c r="A31" s="1">
        <v>407</v>
      </c>
      <c r="B31" s="1">
        <v>-0.91465503400000003</v>
      </c>
      <c r="C31" s="1">
        <v>0.35757611189999999</v>
      </c>
      <c r="D31" s="1">
        <v>0.15498556429999999</v>
      </c>
      <c r="E31" s="1">
        <v>0.99422081659999995</v>
      </c>
    </row>
    <row r="32" spans="1:5" x14ac:dyDescent="0.3">
      <c r="A32" s="1">
        <v>421</v>
      </c>
      <c r="B32" s="1">
        <v>-0.98795444570000002</v>
      </c>
      <c r="C32" s="1">
        <v>0.14459333790000001</v>
      </c>
      <c r="D32" s="1">
        <v>6.2654536799999994E-2</v>
      </c>
      <c r="E32" s="1">
        <v>1.0004433073000001</v>
      </c>
    </row>
    <row r="33" spans="1:5" x14ac:dyDescent="0.3">
      <c r="A33" s="1">
        <v>435</v>
      </c>
      <c r="B33" s="1">
        <v>-1.0039991512999999</v>
      </c>
      <c r="C33" s="1">
        <v>-7.6775289100000005E-2</v>
      </c>
      <c r="D33" s="1">
        <v>-3.33102121E-2</v>
      </c>
      <c r="E33" s="1">
        <v>1.0074811716000001</v>
      </c>
    </row>
    <row r="34" spans="1:5" x14ac:dyDescent="0.3">
      <c r="A34" s="1">
        <v>449</v>
      </c>
      <c r="B34" s="1">
        <v>-0.96306605720000005</v>
      </c>
      <c r="C34" s="1">
        <v>-0.2937911325</v>
      </c>
      <c r="D34" s="1">
        <v>-0.12738643320000001</v>
      </c>
      <c r="E34" s="1">
        <v>1.0149072684</v>
      </c>
    </row>
    <row r="35" spans="1:5" x14ac:dyDescent="0.3">
      <c r="A35" s="1">
        <v>463</v>
      </c>
      <c r="B35" s="1">
        <v>-0.86866721420000004</v>
      </c>
      <c r="C35" s="1">
        <v>-0.4944991198</v>
      </c>
      <c r="D35" s="1">
        <v>-0.21439164560000001</v>
      </c>
      <c r="E35" s="1">
        <v>1.0222895315</v>
      </c>
    </row>
    <row r="36" spans="1:5" x14ac:dyDescent="0.3">
      <c r="A36" s="1">
        <v>477</v>
      </c>
      <c r="B36" s="1">
        <v>-0.72708067440000002</v>
      </c>
      <c r="C36" s="1">
        <v>-0.66834506140000005</v>
      </c>
      <c r="D36" s="1">
        <v>-0.28975073359999998</v>
      </c>
      <c r="E36" s="1">
        <v>1.0292166515000001</v>
      </c>
    </row>
    <row r="37" spans="1:5" x14ac:dyDescent="0.3">
      <c r="A37" s="1">
        <v>491</v>
      </c>
      <c r="B37" s="1">
        <v>-0.54679170340000005</v>
      </c>
      <c r="C37" s="1">
        <v>-0.80661236290000005</v>
      </c>
      <c r="D37" s="1">
        <v>-0.34968524899999998</v>
      </c>
      <c r="E37" s="1">
        <v>1.0353185230999999</v>
      </c>
    </row>
    <row r="38" spans="1:5" x14ac:dyDescent="0.3">
      <c r="A38" s="1">
        <v>505</v>
      </c>
      <c r="B38" s="1">
        <v>-0.33791178160000002</v>
      </c>
      <c r="C38" s="1">
        <v>-0.90269600110000003</v>
      </c>
      <c r="D38" s="1">
        <v>-0.39133216380000002</v>
      </c>
      <c r="E38" s="1">
        <v>1.0402813585999999</v>
      </c>
    </row>
    <row r="39" spans="1:5" x14ac:dyDescent="0.3">
      <c r="A39" s="1">
        <v>519</v>
      </c>
      <c r="B39" s="1">
        <v>-0.1116187146</v>
      </c>
      <c r="C39" s="1">
        <v>-0.95224587429999996</v>
      </c>
      <c r="D39" s="1">
        <v>-0.41280599839999998</v>
      </c>
      <c r="E39" s="1">
        <v>1.0438581009000001</v>
      </c>
    </row>
    <row r="40" spans="1:5" x14ac:dyDescent="0.3">
      <c r="A40" s="1">
        <v>533</v>
      </c>
      <c r="B40" s="1">
        <v>0.1203616305</v>
      </c>
      <c r="C40" s="1">
        <v>-0.95321430730000001</v>
      </c>
      <c r="D40" s="1">
        <v>-0.41321940080000003</v>
      </c>
      <c r="E40" s="1">
        <v>1.0458750934000001</v>
      </c>
    </row>
    <row r="41" spans="1:5" x14ac:dyDescent="0.3">
      <c r="A41" s="1">
        <v>547</v>
      </c>
      <c r="B41" s="1">
        <v>0.34622909870000002</v>
      </c>
      <c r="C41" s="1">
        <v>-0.90583741529999995</v>
      </c>
      <c r="D41" s="1">
        <v>-0.3926750544</v>
      </c>
      <c r="E41" s="1">
        <v>1.0462359725000001</v>
      </c>
    </row>
    <row r="42" spans="1:5" x14ac:dyDescent="0.3">
      <c r="A42" s="1">
        <v>561</v>
      </c>
      <c r="B42" s="1">
        <v>0.55454706149999999</v>
      </c>
      <c r="C42" s="1">
        <v>-0.81257080780000002</v>
      </c>
      <c r="D42" s="1">
        <v>-0.3522377934</v>
      </c>
      <c r="E42" s="1">
        <v>1.0449235495</v>
      </c>
    </row>
    <row r="43" spans="1:5" x14ac:dyDescent="0.3">
      <c r="A43" s="1">
        <v>575</v>
      </c>
      <c r="B43" s="1">
        <v>0.73465826739999995</v>
      </c>
      <c r="C43" s="1">
        <v>-0.67798931139999996</v>
      </c>
      <c r="D43" s="1">
        <v>-0.29389112080000002</v>
      </c>
      <c r="E43" s="1">
        <v>1.0420001282</v>
      </c>
    </row>
    <row r="44" spans="1:5" x14ac:dyDescent="0.3">
      <c r="A44" s="1">
        <v>589</v>
      </c>
      <c r="B44" s="1">
        <v>0.87709300479999996</v>
      </c>
      <c r="C44" s="1">
        <v>-0.50864957990000004</v>
      </c>
      <c r="D44" s="1">
        <v>-0.22047763779999999</v>
      </c>
      <c r="E44" s="1">
        <v>1.037606343</v>
      </c>
    </row>
    <row r="45" spans="1:5" x14ac:dyDescent="0.3">
      <c r="A45" s="1">
        <v>603</v>
      </c>
      <c r="B45" s="1">
        <v>0.97397948749999996</v>
      </c>
      <c r="C45" s="1">
        <v>-0.3129046372</v>
      </c>
      <c r="D45" s="1">
        <v>-0.13561863590000001</v>
      </c>
      <c r="E45" s="1">
        <v>1.0319582204</v>
      </c>
    </row>
    <row r="46" spans="1:5" x14ac:dyDescent="0.3">
      <c r="A46" s="1">
        <v>617</v>
      </c>
      <c r="B46" s="1">
        <v>1.0194575839</v>
      </c>
      <c r="C46" s="1">
        <v>-0.1006515224</v>
      </c>
      <c r="D46" s="1">
        <v>-4.3604688699999998E-2</v>
      </c>
      <c r="E46" s="1">
        <v>1.0253418274999999</v>
      </c>
    </row>
    <row r="47" spans="1:5" x14ac:dyDescent="0.3">
      <c r="A47" s="1">
        <v>631</v>
      </c>
      <c r="B47" s="1">
        <v>1.0100838981</v>
      </c>
      <c r="C47" s="1">
        <v>0.1170113366</v>
      </c>
      <c r="D47" s="1">
        <v>5.0752889699999998E-2</v>
      </c>
      <c r="E47" s="1">
        <v>1.0181046065999999</v>
      </c>
    </row>
    <row r="48" spans="1:5" x14ac:dyDescent="0.3">
      <c r="A48" s="1">
        <v>645</v>
      </c>
      <c r="B48" s="1">
        <v>0.94519945760000001</v>
      </c>
      <c r="C48" s="1">
        <v>0.32823956009999999</v>
      </c>
      <c r="D48" s="1">
        <v>0.1423194887</v>
      </c>
      <c r="E48" s="1">
        <v>1.0106423998</v>
      </c>
    </row>
    <row r="49" spans="1:5" x14ac:dyDescent="0.3">
      <c r="A49" s="1">
        <v>659</v>
      </c>
      <c r="B49" s="1">
        <v>0.82721288439999996</v>
      </c>
      <c r="C49" s="1">
        <v>0.52102484709999997</v>
      </c>
      <c r="D49" s="1">
        <v>0.22588952200000001</v>
      </c>
      <c r="E49" s="1">
        <v>1.003381345</v>
      </c>
    </row>
    <row r="50" spans="1:5" x14ac:dyDescent="0.3">
      <c r="A50" s="1">
        <v>673</v>
      </c>
      <c r="B50" s="1">
        <v>0.66173621650000003</v>
      </c>
      <c r="C50" s="1">
        <v>0.68389858270000004</v>
      </c>
      <c r="D50" s="1">
        <v>0.29649144799999999</v>
      </c>
      <c r="E50" s="1">
        <v>0.99675436809999995</v>
      </c>
    </row>
    <row r="51" spans="1:5" x14ac:dyDescent="0.3">
      <c r="A51" s="1">
        <v>687</v>
      </c>
      <c r="B51" s="1">
        <v>0.45750417719999997</v>
      </c>
      <c r="C51" s="1">
        <v>0.80672310670000003</v>
      </c>
      <c r="D51" s="1">
        <v>0.34973078680000003</v>
      </c>
      <c r="E51" s="1">
        <v>0.99117297500000001</v>
      </c>
    </row>
    <row r="52" spans="1:5" x14ac:dyDescent="0.3">
      <c r="A52" s="1">
        <v>701</v>
      </c>
      <c r="B52" s="1">
        <v>0.22601836550000001</v>
      </c>
      <c r="C52" s="1">
        <v>0.88150184379999996</v>
      </c>
      <c r="D52" s="1">
        <v>0.38214130480000003</v>
      </c>
      <c r="E52" s="1">
        <v>0.98699634189999996</v>
      </c>
    </row>
    <row r="53" spans="1:5" x14ac:dyDescent="0.3">
      <c r="A53" s="1">
        <v>715</v>
      </c>
      <c r="B53" s="1">
        <v>-1.9109159399999999E-2</v>
      </c>
      <c r="C53" s="1">
        <v>0.90310805750000001</v>
      </c>
      <c r="D53" s="1">
        <v>0.39150091510000001</v>
      </c>
      <c r="E53" s="1">
        <v>0.98450103600000005</v>
      </c>
    </row>
    <row r="54" spans="1:5" x14ac:dyDescent="0.3">
      <c r="A54" s="1">
        <v>729</v>
      </c>
      <c r="B54" s="1">
        <v>-0.2630849992</v>
      </c>
      <c r="C54" s="1">
        <v>0.8698172273</v>
      </c>
      <c r="D54" s="1">
        <v>0.37706243950000001</v>
      </c>
      <c r="E54" s="1">
        <v>0.98385558340000001</v>
      </c>
    </row>
    <row r="55" spans="1:5" x14ac:dyDescent="0.3">
      <c r="A55" s="1">
        <v>743</v>
      </c>
      <c r="B55" s="1">
        <v>-0.49104665790000002</v>
      </c>
      <c r="C55" s="1">
        <v>0.78354163269999999</v>
      </c>
      <c r="D55" s="1">
        <v>0.33965527089999997</v>
      </c>
      <c r="E55" s="1">
        <v>0.98510406220000002</v>
      </c>
    </row>
    <row r="56" spans="1:5" x14ac:dyDescent="0.3">
      <c r="A56" s="1">
        <v>757</v>
      </c>
      <c r="B56" s="1">
        <v>-0.68921869209999997</v>
      </c>
      <c r="C56" s="1">
        <v>0.64971051909999999</v>
      </c>
      <c r="D56" s="1">
        <v>0.28163339300000001</v>
      </c>
      <c r="E56" s="1">
        <v>0.98816169330000003</v>
      </c>
    </row>
    <row r="57" spans="1:5" x14ac:dyDescent="0.3">
      <c r="A57" s="1">
        <v>771</v>
      </c>
      <c r="B57" s="1">
        <v>-0.84595586779999998</v>
      </c>
      <c r="C57" s="1">
        <v>0.47680470130000002</v>
      </c>
      <c r="D57" s="1">
        <v>0.20667359969999999</v>
      </c>
      <c r="E57" s="1">
        <v>0.99282326239999996</v>
      </c>
    </row>
    <row r="58" spans="1:5" x14ac:dyDescent="0.3">
      <c r="A58" s="1">
        <v>785</v>
      </c>
      <c r="B58" s="1">
        <v>-0.95253931989999996</v>
      </c>
      <c r="C58" s="1">
        <v>0.27561962089999997</v>
      </c>
      <c r="D58" s="1">
        <v>0.11945600520000001</v>
      </c>
      <c r="E58" s="1">
        <v>0.99878279349999999</v>
      </c>
    </row>
    <row r="59" spans="1:5" x14ac:dyDescent="0.3">
      <c r="A59" s="1">
        <v>799</v>
      </c>
      <c r="B59" s="1">
        <v>-1.0036471219</v>
      </c>
      <c r="C59" s="1">
        <v>5.83740913E-2</v>
      </c>
      <c r="D59" s="1">
        <v>2.5277667699999999E-2</v>
      </c>
      <c r="E59" s="1">
        <v>1.0056609967000001</v>
      </c>
    </row>
    <row r="60" spans="1:5" x14ac:dyDescent="0.3">
      <c r="A60" s="1">
        <v>813</v>
      </c>
      <c r="B60" s="1">
        <v>-0.99748796939999995</v>
      </c>
      <c r="C60" s="1">
        <v>-0.16220832330000001</v>
      </c>
      <c r="D60" s="1">
        <v>-7.0345640200000004E-2</v>
      </c>
      <c r="E60" s="1">
        <v>1.0130361781999999</v>
      </c>
    </row>
    <row r="61" spans="1:5" x14ac:dyDescent="0.3">
      <c r="A61" s="1">
        <v>827</v>
      </c>
      <c r="B61" s="1">
        <v>-0.93564370269999997</v>
      </c>
      <c r="C61" s="1">
        <v>-0.37373938779999999</v>
      </c>
      <c r="D61" s="1">
        <v>-0.1620436063</v>
      </c>
      <c r="E61" s="1">
        <v>1.0204745948</v>
      </c>
    </row>
    <row r="62" spans="1:5" x14ac:dyDescent="0.3">
      <c r="A62" s="1">
        <v>841</v>
      </c>
      <c r="B62" s="1">
        <v>-0.82269944070000001</v>
      </c>
      <c r="C62" s="1">
        <v>-0.56486052630000005</v>
      </c>
      <c r="D62" s="1">
        <v>-0.24489236310000001</v>
      </c>
      <c r="E62" s="1">
        <v>1.0275573237</v>
      </c>
    </row>
    <row r="63" spans="1:5" x14ac:dyDescent="0.3">
      <c r="A63" s="1">
        <v>855</v>
      </c>
      <c r="B63" s="1">
        <v>-0.66574722099999994</v>
      </c>
      <c r="C63" s="1">
        <v>-0.72576526210000003</v>
      </c>
      <c r="D63" s="1">
        <v>-0.31464095460000002</v>
      </c>
      <c r="E63" s="1">
        <v>1.0339020786999999</v>
      </c>
    </row>
    <row r="64" spans="1:5" x14ac:dyDescent="0.3">
      <c r="A64" s="1">
        <v>869</v>
      </c>
      <c r="B64" s="1">
        <v>-0.47383693329999999</v>
      </c>
      <c r="C64" s="1">
        <v>-0.84855609300000001</v>
      </c>
      <c r="D64" s="1">
        <v>-0.36786602810000002</v>
      </c>
      <c r="E64" s="1">
        <v>1.0391796269</v>
      </c>
    </row>
    <row r="65" spans="1:5" x14ac:dyDescent="0.3">
      <c r="A65" s="1">
        <v>883</v>
      </c>
      <c r="B65" s="1">
        <v>-0.2574266469</v>
      </c>
      <c r="C65" s="1">
        <v>-0.9274615397</v>
      </c>
      <c r="D65" s="1">
        <v>-0.40206591060000002</v>
      </c>
      <c r="E65" s="1">
        <v>1.0431252956999999</v>
      </c>
    </row>
    <row r="66" spans="1:5" x14ac:dyDescent="0.3">
      <c r="A66" s="1">
        <v>897</v>
      </c>
      <c r="B66" s="1">
        <v>-2.78613822E-2</v>
      </c>
      <c r="C66" s="1">
        <v>-0.9589461937</v>
      </c>
      <c r="D66" s="1">
        <v>-0.41570830019999999</v>
      </c>
      <c r="E66" s="1">
        <v>1.0455464838999999</v>
      </c>
    </row>
    <row r="67" spans="1:5" x14ac:dyDescent="0.3">
      <c r="A67" s="1">
        <v>911</v>
      </c>
      <c r="B67" s="1">
        <v>0.20311001710000001</v>
      </c>
      <c r="C67" s="1">
        <v>-0.94174461570000001</v>
      </c>
      <c r="D67" s="1">
        <v>-0.40824494820000001</v>
      </c>
      <c r="E67" s="1">
        <v>1.0463271658</v>
      </c>
    </row>
    <row r="68" spans="1:5" x14ac:dyDescent="0.3">
      <c r="A68" s="1">
        <v>925</v>
      </c>
      <c r="B68" s="1">
        <v>0.42378398020000002</v>
      </c>
      <c r="C68" s="1">
        <v>-0.87684252640000004</v>
      </c>
      <c r="D68" s="1">
        <v>-0.3801034928</v>
      </c>
      <c r="E68" s="1">
        <v>1.0454302192</v>
      </c>
    </row>
    <row r="69" spans="1:5" x14ac:dyDescent="0.3">
      <c r="A69" s="1">
        <v>939</v>
      </c>
      <c r="B69" s="1">
        <v>0.62292919290000004</v>
      </c>
      <c r="C69" s="1">
        <v>-0.76741872970000002</v>
      </c>
      <c r="D69" s="1">
        <v>-0.33266227069999998</v>
      </c>
      <c r="E69" s="1">
        <v>1.0428981122000001</v>
      </c>
    </row>
    <row r="70" spans="1:5" x14ac:dyDescent="0.3">
      <c r="A70" s="1">
        <v>953</v>
      </c>
      <c r="B70" s="1">
        <v>0.79020593019999996</v>
      </c>
      <c r="C70" s="1">
        <v>-0.6187504479</v>
      </c>
      <c r="D70" s="1">
        <v>-0.26820926769999998</v>
      </c>
      <c r="E70" s="1">
        <v>1.0388521262999999</v>
      </c>
    </row>
    <row r="71" spans="1:5" x14ac:dyDescent="0.3">
      <c r="A71" s="1">
        <v>967</v>
      </c>
      <c r="B71" s="1">
        <v>0.91658993529999999</v>
      </c>
      <c r="C71" s="1">
        <v>-0.43807438059999998</v>
      </c>
      <c r="D71" s="1">
        <v>-0.18988187570000001</v>
      </c>
      <c r="E71" s="1">
        <v>1.0334899124000001</v>
      </c>
    </row>
    <row r="72" spans="1:5" x14ac:dyDescent="0.3">
      <c r="A72" s="1">
        <v>981</v>
      </c>
      <c r="B72" s="1">
        <v>0.99480617790000003</v>
      </c>
      <c r="C72" s="1">
        <v>-0.23438675219999999</v>
      </c>
      <c r="D72" s="1">
        <v>-0.1015802001</v>
      </c>
      <c r="E72" s="1">
        <v>1.0270808237</v>
      </c>
    </row>
    <row r="73" spans="1:5" x14ac:dyDescent="0.3">
      <c r="A73" s="1">
        <v>995</v>
      </c>
      <c r="B73" s="1">
        <v>1.0197663444</v>
      </c>
      <c r="C73" s="1">
        <v>-1.81591311E-2</v>
      </c>
      <c r="D73" s="1">
        <v>-7.8438540000000008E-3</v>
      </c>
      <c r="E73" s="1">
        <v>1.0199581741999999</v>
      </c>
    </row>
    <row r="74" spans="1:5" x14ac:dyDescent="0.3">
      <c r="A74" s="1">
        <v>1009</v>
      </c>
      <c r="B74" s="1">
        <v>0.98898807619999995</v>
      </c>
      <c r="C74" s="1">
        <v>0.19905519699999999</v>
      </c>
      <c r="D74" s="1">
        <v>8.6318692099999997E-2</v>
      </c>
      <c r="E74" s="1">
        <v>1.0125074336</v>
      </c>
    </row>
    <row r="75" spans="1:5" x14ac:dyDescent="0.3">
      <c r="A75" s="1">
        <v>1023</v>
      </c>
      <c r="B75" s="1">
        <v>0.90295516320000002</v>
      </c>
      <c r="C75" s="1">
        <v>0.4051444642</v>
      </c>
      <c r="D75" s="1">
        <v>0.1756569452</v>
      </c>
      <c r="E75" s="1">
        <v>1.0051494545999999</v>
      </c>
    </row>
    <row r="76" spans="1:5" x14ac:dyDescent="0.3">
      <c r="A76" s="1">
        <v>1037</v>
      </c>
      <c r="B76" s="1">
        <v>0.76535951869999996</v>
      </c>
      <c r="C76" s="1">
        <v>0.58809667070000005</v>
      </c>
      <c r="D76" s="1">
        <v>0.25496375090000001</v>
      </c>
      <c r="E76" s="1">
        <v>0.99831828649999999</v>
      </c>
    </row>
    <row r="77" spans="1:5" x14ac:dyDescent="0.3">
      <c r="A77" s="1">
        <v>1051</v>
      </c>
      <c r="B77" s="1">
        <v>0.58315386629999999</v>
      </c>
      <c r="C77" s="1">
        <v>0.73677255699999999</v>
      </c>
      <c r="D77" s="1">
        <v>0.31941038199999999</v>
      </c>
      <c r="E77" s="1">
        <v>0.99243398999999999</v>
      </c>
    </row>
    <row r="78" spans="1:5" x14ac:dyDescent="0.3">
      <c r="A78" s="1">
        <v>1065</v>
      </c>
      <c r="B78" s="1">
        <v>0.36634656529999998</v>
      </c>
      <c r="C78" s="1">
        <v>0.84173862310000003</v>
      </c>
      <c r="D78" s="1">
        <v>0.3649076503</v>
      </c>
      <c r="E78" s="1">
        <v>0.98787211149999998</v>
      </c>
    </row>
    <row r="79" spans="1:5" x14ac:dyDescent="0.3">
      <c r="A79" s="1">
        <v>1079</v>
      </c>
      <c r="B79" s="1">
        <v>0.12749396490000001</v>
      </c>
      <c r="C79" s="1">
        <v>0.89607003620000003</v>
      </c>
      <c r="D79" s="1">
        <v>0.38845395669999999</v>
      </c>
      <c r="E79" s="1">
        <v>0.98493283899999995</v>
      </c>
    </row>
    <row r="80" spans="1:5" x14ac:dyDescent="0.3">
      <c r="A80" s="1">
        <v>1093</v>
      </c>
      <c r="B80" s="1">
        <v>-0.1191073923</v>
      </c>
      <c r="C80" s="1">
        <v>0.89600923050000003</v>
      </c>
      <c r="D80" s="1">
        <v>0.38842077489999999</v>
      </c>
      <c r="E80" s="1">
        <v>0.9838139105</v>
      </c>
    </row>
    <row r="81" spans="1:5" x14ac:dyDescent="0.3">
      <c r="A81" s="1">
        <v>1107</v>
      </c>
      <c r="B81" s="1">
        <v>-0.35846478659999997</v>
      </c>
      <c r="C81" s="1">
        <v>0.84136686049999998</v>
      </c>
      <c r="D81" s="1">
        <v>0.36472643760000001</v>
      </c>
      <c r="E81" s="1">
        <v>0.98459157600000002</v>
      </c>
    </row>
    <row r="82" spans="1:5" x14ac:dyDescent="0.3">
      <c r="A82" s="1">
        <v>1121</v>
      </c>
      <c r="B82" s="1">
        <v>-0.5760475827</v>
      </c>
      <c r="C82" s="1">
        <v>0.73558469230000001</v>
      </c>
      <c r="D82" s="1">
        <v>0.31886336790000003</v>
      </c>
      <c r="E82" s="1">
        <v>0.98721299849999999</v>
      </c>
    </row>
    <row r="83" spans="1:5" x14ac:dyDescent="0.3">
      <c r="A83" s="1">
        <v>1135</v>
      </c>
      <c r="B83" s="1">
        <v>-0.75890490290000001</v>
      </c>
      <c r="C83" s="1">
        <v>0.58543961440000003</v>
      </c>
      <c r="D83" s="1">
        <v>0.25376973609999998</v>
      </c>
      <c r="E83" s="1">
        <v>0.99150152430000005</v>
      </c>
    </row>
    <row r="84" spans="1:5" x14ac:dyDescent="0.3">
      <c r="A84" s="1">
        <v>1149</v>
      </c>
      <c r="B84" s="1">
        <v>-0.89659429209999997</v>
      </c>
      <c r="C84" s="1">
        <v>0.40043616720000003</v>
      </c>
      <c r="D84" s="1">
        <v>0.17356609249999999</v>
      </c>
      <c r="E84" s="1">
        <v>0.99717382489999995</v>
      </c>
    </row>
    <row r="85" spans="1:5" x14ac:dyDescent="0.3">
      <c r="A85" s="1">
        <v>1163</v>
      </c>
      <c r="B85" s="1">
        <v>-0.98181688730000005</v>
      </c>
      <c r="C85" s="1">
        <v>0.19198902700000001</v>
      </c>
      <c r="D85" s="1">
        <v>8.3200952999999994E-2</v>
      </c>
      <c r="E85" s="1">
        <v>1.0038658202999999</v>
      </c>
    </row>
    <row r="86" spans="1:5" x14ac:dyDescent="0.3">
      <c r="A86" s="1">
        <v>1177</v>
      </c>
      <c r="B86" s="1">
        <v>-1.0107191687999999</v>
      </c>
      <c r="C86" s="1">
        <v>-2.74795036E-2</v>
      </c>
      <c r="D86" s="1">
        <v>-1.19404512E-2</v>
      </c>
      <c r="E86" s="1">
        <v>1.0111631596999999</v>
      </c>
    </row>
    <row r="87" spans="1:5" x14ac:dyDescent="0.3">
      <c r="A87" s="1">
        <v>1191</v>
      </c>
      <c r="B87" s="1">
        <v>-0.98288383280000002</v>
      </c>
      <c r="C87" s="1">
        <v>-0.2454113047</v>
      </c>
      <c r="D87" s="1">
        <v>-0.1064141064</v>
      </c>
      <c r="E87" s="1">
        <v>1.0186320726</v>
      </c>
    </row>
    <row r="88" spans="1:5" x14ac:dyDescent="0.3">
      <c r="A88" s="1">
        <v>1205</v>
      </c>
      <c r="B88" s="1">
        <v>-0.90107523710000004</v>
      </c>
      <c r="C88" s="1">
        <v>-0.4498703389</v>
      </c>
      <c r="D88" s="1">
        <v>-0.1950457629</v>
      </c>
      <c r="E88" s="1">
        <v>1.0258473347999999</v>
      </c>
    </row>
    <row r="89" spans="1:5" x14ac:dyDescent="0.3">
      <c r="A89" s="1">
        <v>1219</v>
      </c>
      <c r="B89" s="1">
        <v>-0.7708220012</v>
      </c>
      <c r="C89" s="1">
        <v>-0.63014398069999999</v>
      </c>
      <c r="D89" s="1">
        <v>-0.27319160180000002</v>
      </c>
      <c r="E89" s="1">
        <v>1.0324154421</v>
      </c>
    </row>
    <row r="90" spans="1:5" x14ac:dyDescent="0.3">
      <c r="A90" s="1">
        <v>1233</v>
      </c>
      <c r="B90" s="1">
        <v>-0.59991452759999997</v>
      </c>
      <c r="C90" s="1">
        <v>-0.77718092910000003</v>
      </c>
      <c r="D90" s="1">
        <v>-0.33692805850000002</v>
      </c>
      <c r="E90" s="1">
        <v>1.0379923668</v>
      </c>
    </row>
    <row r="91" spans="1:5" x14ac:dyDescent="0.3">
      <c r="A91" s="1">
        <v>1247</v>
      </c>
      <c r="B91" s="1">
        <v>-0.3978772626</v>
      </c>
      <c r="C91" s="1">
        <v>-0.8838831573</v>
      </c>
      <c r="D91" s="1">
        <v>-0.3831783695</v>
      </c>
      <c r="E91" s="1">
        <v>1.0422962222000001</v>
      </c>
    </row>
    <row r="92" spans="1:5" x14ac:dyDescent="0.3">
      <c r="A92" s="1">
        <v>1261</v>
      </c>
      <c r="B92" s="1">
        <v>-0.17545321990000001</v>
      </c>
      <c r="C92" s="1">
        <v>-0.94528108919999998</v>
      </c>
      <c r="D92" s="1">
        <v>-0.40978849849999999</v>
      </c>
      <c r="E92" s="1">
        <v>1.0451156795000001</v>
      </c>
    </row>
    <row r="93" spans="1:5" x14ac:dyDescent="0.3">
      <c r="A93" s="1">
        <v>1275</v>
      </c>
      <c r="B93" s="1">
        <v>5.58822442E-2</v>
      </c>
      <c r="C93" s="1">
        <v>-0.95862277429999998</v>
      </c>
      <c r="D93" s="1">
        <v>-0.41556577960000002</v>
      </c>
      <c r="E93" s="1">
        <v>1.0463151369000001</v>
      </c>
    </row>
    <row r="94" spans="1:5" x14ac:dyDescent="0.3">
      <c r="A94" s="1">
        <v>1289</v>
      </c>
      <c r="B94" s="1">
        <v>0.2843771745</v>
      </c>
      <c r="C94" s="1">
        <v>-0.92340270410000003</v>
      </c>
      <c r="D94" s="1">
        <v>-0.40029139800000002</v>
      </c>
      <c r="E94" s="1">
        <v>1.0458375278000001</v>
      </c>
    </row>
    <row r="95" spans="1:5" x14ac:dyDescent="0.3">
      <c r="A95" s="1">
        <v>1303</v>
      </c>
      <c r="B95" s="1">
        <v>0.49843720349999998</v>
      </c>
      <c r="C95" s="1">
        <v>-0.84134712310000004</v>
      </c>
      <c r="D95" s="1">
        <v>-0.36471400900000001</v>
      </c>
      <c r="E95" s="1">
        <v>1.0437053874</v>
      </c>
    </row>
    <row r="96" spans="1:5" x14ac:dyDescent="0.3">
      <c r="A96" s="1">
        <v>1317</v>
      </c>
      <c r="B96" s="1">
        <v>0.68705191219999995</v>
      </c>
      <c r="C96" s="1">
        <v>-0.71636232990000004</v>
      </c>
      <c r="D96" s="1">
        <v>-0.31052731560000002</v>
      </c>
      <c r="E96" s="1">
        <v>1.0400204475999999</v>
      </c>
    </row>
    <row r="97" spans="1:5" x14ac:dyDescent="0.3">
      <c r="A97" s="1">
        <v>1331</v>
      </c>
      <c r="B97" s="1">
        <v>0.84022700250000004</v>
      </c>
      <c r="C97" s="1">
        <v>-0.55444186799999995</v>
      </c>
      <c r="D97" s="1">
        <v>-0.24032982250000001</v>
      </c>
      <c r="E97" s="1">
        <v>1.0349616534999999</v>
      </c>
    </row>
    <row r="98" spans="1:5" x14ac:dyDescent="0.3">
      <c r="A98" s="1">
        <v>1345</v>
      </c>
      <c r="B98" s="1">
        <v>0.94943112019999998</v>
      </c>
      <c r="C98" s="1">
        <v>-0.36351860860000001</v>
      </c>
      <c r="D98" s="1">
        <v>-0.15756070150000001</v>
      </c>
      <c r="E98" s="1">
        <v>1.0287811260999999</v>
      </c>
    </row>
    <row r="99" spans="1:5" x14ac:dyDescent="0.3">
      <c r="A99" s="1">
        <v>1359</v>
      </c>
      <c r="B99" s="1">
        <v>1.0080565690000001</v>
      </c>
      <c r="C99" s="1">
        <v>-0.15323966729999999</v>
      </c>
      <c r="D99" s="1">
        <v>-6.6402203699999995E-2</v>
      </c>
      <c r="E99" s="1">
        <v>1.0217972865</v>
      </c>
    </row>
    <row r="100" spans="1:5" x14ac:dyDescent="0.3">
      <c r="A100" s="1">
        <v>1373</v>
      </c>
      <c r="B100" s="1">
        <v>1.0118787131</v>
      </c>
      <c r="C100" s="1">
        <v>6.5362410199999998E-2</v>
      </c>
      <c r="D100" s="1">
        <v>2.83628953E-2</v>
      </c>
      <c r="E100" s="1">
        <v>1.0143841622000001</v>
      </c>
    </row>
    <row r="101" spans="1:5" x14ac:dyDescent="0.3">
      <c r="A101" s="1">
        <v>1387</v>
      </c>
      <c r="B101" s="1">
        <v>0.95948036749999999</v>
      </c>
      <c r="C101" s="1">
        <v>0.2803271994</v>
      </c>
      <c r="D101" s="1">
        <v>0.1215496579</v>
      </c>
      <c r="E101" s="1">
        <v>1.0069559243999999</v>
      </c>
    </row>
    <row r="102" spans="1:5" x14ac:dyDescent="0.3">
      <c r="A102" s="1">
        <v>1401</v>
      </c>
      <c r="B102" s="1">
        <v>0.85258745619999998</v>
      </c>
      <c r="C102" s="1">
        <v>0.47936711920000002</v>
      </c>
      <c r="D102" s="1">
        <v>0.2078314097</v>
      </c>
      <c r="E102" s="1">
        <v>0.99994604870000003</v>
      </c>
    </row>
    <row r="103" spans="1:5" x14ac:dyDescent="0.3">
      <c r="A103" s="1">
        <v>1415</v>
      </c>
      <c r="B103" s="1">
        <v>0.69624588809999999</v>
      </c>
      <c r="C103" s="1">
        <v>0.65060399130000002</v>
      </c>
      <c r="D103" s="1">
        <v>0.2820590462</v>
      </c>
      <c r="E103" s="1">
        <v>0.99378126160000002</v>
      </c>
    </row>
    <row r="104" spans="1:5" x14ac:dyDescent="0.3">
      <c r="A104" s="1">
        <v>1429</v>
      </c>
      <c r="B104" s="1">
        <v>0.4987646509</v>
      </c>
      <c r="C104" s="1">
        <v>0.78340168529999998</v>
      </c>
      <c r="D104" s="1">
        <v>0.3396219862</v>
      </c>
      <c r="E104" s="1">
        <v>0.98885159199999995</v>
      </c>
    </row>
    <row r="105" spans="1:5" x14ac:dyDescent="0.3">
      <c r="A105" s="1">
        <v>1443</v>
      </c>
      <c r="B105" s="1">
        <v>0.27136476679999999</v>
      </c>
      <c r="C105" s="1">
        <v>0.86921757799999999</v>
      </c>
      <c r="D105" s="1">
        <v>0.3768172743</v>
      </c>
      <c r="E105" s="1">
        <v>0.98547921989999998</v>
      </c>
    </row>
    <row r="106" spans="1:5" x14ac:dyDescent="0.3">
      <c r="A106" s="1">
        <v>1457</v>
      </c>
      <c r="B106" s="1">
        <v>2.7512452999999999E-2</v>
      </c>
      <c r="C106" s="1">
        <v>0.90236412850000003</v>
      </c>
      <c r="D106" s="1">
        <v>0.39117970829999998</v>
      </c>
      <c r="E106" s="1">
        <v>0.98388999359999996</v>
      </c>
    </row>
    <row r="107" spans="1:5" x14ac:dyDescent="0.3">
      <c r="A107" s="1">
        <v>1471</v>
      </c>
      <c r="B107" s="1">
        <v>-0.21802669969999999</v>
      </c>
      <c r="C107" s="1">
        <v>0.88056074620000002</v>
      </c>
      <c r="D107" s="1">
        <v>0.38172105029999998</v>
      </c>
      <c r="E107" s="1">
        <v>0.98419196799999997</v>
      </c>
    </row>
    <row r="108" spans="1:5" x14ac:dyDescent="0.3">
      <c r="A108" s="3"/>
      <c r="B108" s="3"/>
      <c r="C108" s="3"/>
      <c r="D108" s="4" t="s">
        <v>1</v>
      </c>
      <c r="E108" s="3">
        <f>AVERAGE(dt_14[r (Distance in AU)])</f>
        <v>1.0152629100518873</v>
      </c>
    </row>
  </sheetData>
  <mergeCells count="2">
    <mergeCell ref="G3:G5"/>
    <mergeCell ref="H3:H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058A-7E5C-4FA9-AE56-48575F4801BF}">
  <dimension ref="A1:H73"/>
  <sheetViews>
    <sheetView topLeftCell="A55" workbookViewId="0">
      <selection activeCell="H65" sqref="H65"/>
    </sheetView>
  </sheetViews>
  <sheetFormatPr defaultRowHeight="14.4" x14ac:dyDescent="0.3"/>
  <cols>
    <col min="1" max="1" width="11.44140625" bestFit="1" customWidth="1"/>
    <col min="2" max="3" width="19" bestFit="1" customWidth="1"/>
    <col min="4" max="4" width="18.88671875" bestFit="1" customWidth="1"/>
    <col min="5" max="5" width="21.109375" bestFit="1" customWidth="1"/>
    <col min="7" max="7" width="14.44140625" bestFit="1" customWidth="1"/>
    <col min="8" max="8" width="43" bestFit="1" customWidth="1"/>
  </cols>
  <sheetData>
    <row r="1" spans="1:8" x14ac:dyDescent="0.3">
      <c r="A1" s="3" t="s">
        <v>6</v>
      </c>
      <c r="B1" t="s">
        <v>5</v>
      </c>
      <c r="C1" t="s">
        <v>4</v>
      </c>
      <c r="D1" t="s">
        <v>3</v>
      </c>
      <c r="E1" s="3" t="s">
        <v>2</v>
      </c>
    </row>
    <row r="2" spans="1:8" x14ac:dyDescent="0.3">
      <c r="A2" s="1">
        <v>1</v>
      </c>
      <c r="B2" s="1">
        <v>-0.53057153609999996</v>
      </c>
      <c r="C2" s="1">
        <v>0.76065220509999998</v>
      </c>
      <c r="D2" s="1">
        <v>0.3297315066</v>
      </c>
      <c r="E2" s="1">
        <v>0.98428694920000004</v>
      </c>
    </row>
    <row r="3" spans="1:8" x14ac:dyDescent="0.3">
      <c r="A3" s="1">
        <v>22</v>
      </c>
      <c r="B3" s="1">
        <v>-0.80447039090000005</v>
      </c>
      <c r="C3" s="1">
        <v>0.52852621879999995</v>
      </c>
      <c r="D3" s="1">
        <v>0.2290962601</v>
      </c>
      <c r="E3" s="1">
        <v>0.98944311119999995</v>
      </c>
      <c r="G3" s="29" t="s">
        <v>11</v>
      </c>
      <c r="H3" s="29"/>
    </row>
    <row r="4" spans="1:8" x14ac:dyDescent="0.3">
      <c r="A4" s="1">
        <v>43</v>
      </c>
      <c r="B4" s="1">
        <v>-0.96995947010000005</v>
      </c>
      <c r="C4" s="1">
        <v>0.2251431988</v>
      </c>
      <c r="D4" s="1">
        <v>9.7573765100000001E-2</v>
      </c>
      <c r="E4" s="1">
        <v>1.0005156037</v>
      </c>
      <c r="G4" s="29"/>
      <c r="H4" s="29"/>
    </row>
    <row r="5" spans="1:8" x14ac:dyDescent="0.3">
      <c r="A5" s="1">
        <v>64</v>
      </c>
      <c r="B5" s="1">
        <v>-1.0089963400999999</v>
      </c>
      <c r="C5" s="1">
        <v>-0.1076130003</v>
      </c>
      <c r="D5" s="1">
        <v>-4.6678638199999997E-2</v>
      </c>
      <c r="E5" s="1">
        <v>1.0157918425000001</v>
      </c>
      <c r="G5" s="29"/>
      <c r="H5" s="29"/>
    </row>
    <row r="6" spans="1:8" x14ac:dyDescent="0.3">
      <c r="A6" s="1">
        <v>85</v>
      </c>
      <c r="B6" s="1">
        <v>-0.92231806140000006</v>
      </c>
      <c r="C6" s="1">
        <v>-0.42697375879999999</v>
      </c>
      <c r="D6" s="1">
        <v>-0.1851205792</v>
      </c>
      <c r="E6" s="1">
        <v>1.0330763891999999</v>
      </c>
      <c r="G6" s="5" t="s">
        <v>9</v>
      </c>
      <c r="H6" s="5" t="s">
        <v>12</v>
      </c>
    </row>
    <row r="7" spans="1:8" x14ac:dyDescent="0.3">
      <c r="A7" s="1">
        <v>106</v>
      </c>
      <c r="B7" s="1">
        <v>-0.72639131199999996</v>
      </c>
      <c r="C7" s="1">
        <v>-0.69576325269999995</v>
      </c>
      <c r="D7" s="1">
        <v>-0.30163662499999999</v>
      </c>
      <c r="E7" s="1">
        <v>1.0501026119000001</v>
      </c>
      <c r="G7" s="5" t="s">
        <v>10</v>
      </c>
      <c r="H7" s="5" t="s">
        <v>13</v>
      </c>
    </row>
    <row r="8" spans="1:8" x14ac:dyDescent="0.3">
      <c r="A8" s="1">
        <v>127</v>
      </c>
      <c r="B8" s="1">
        <v>-0.44854742359999999</v>
      </c>
      <c r="C8" s="1">
        <v>-0.88608224769999999</v>
      </c>
      <c r="D8" s="1">
        <v>-0.38413308699999998</v>
      </c>
      <c r="E8" s="1">
        <v>1.0648449508</v>
      </c>
      <c r="G8" s="5" t="s">
        <v>7</v>
      </c>
      <c r="H8" s="6">
        <f>ABS((dt_21[[#Totals],[r (Distance in AU)]]-horizons_results_fin_use___Copy__2[[#Totals],[r (Distance in AU)]])/horizons_results_fin_use___Copy__2[[#Totals],[r (Distance in AU)]])</f>
        <v>3.4021747086851219E-2</v>
      </c>
    </row>
    <row r="9" spans="1:8" x14ac:dyDescent="0.3">
      <c r="A9" s="1">
        <v>148</v>
      </c>
      <c r="B9" s="1">
        <v>-0.1222039888</v>
      </c>
      <c r="C9" s="1">
        <v>-0.98056410589999998</v>
      </c>
      <c r="D9" s="1">
        <v>-0.42508237319999997</v>
      </c>
      <c r="E9" s="1">
        <v>1.0757020054999999</v>
      </c>
    </row>
    <row r="10" spans="1:8" x14ac:dyDescent="0.3">
      <c r="A10" s="1">
        <v>169</v>
      </c>
      <c r="B10" s="1">
        <v>0.2169398367</v>
      </c>
      <c r="C10" s="1">
        <v>-0.97218187570000003</v>
      </c>
      <c r="D10" s="1">
        <v>-0.42143925599999998</v>
      </c>
      <c r="E10" s="1">
        <v>1.0815782628999999</v>
      </c>
    </row>
    <row r="11" spans="1:8" x14ac:dyDescent="0.3">
      <c r="A11" s="1">
        <v>190</v>
      </c>
      <c r="B11" s="1">
        <v>0.53367553450000005</v>
      </c>
      <c r="C11" s="1">
        <v>-0.86348619920000003</v>
      </c>
      <c r="D11" s="1">
        <v>-0.37431042409999998</v>
      </c>
      <c r="E11" s="1">
        <v>1.0819086309999999</v>
      </c>
    </row>
    <row r="12" spans="1:8" ht="15.6" x14ac:dyDescent="0.3">
      <c r="A12" s="1">
        <v>211</v>
      </c>
      <c r="B12" s="1">
        <v>0.79537836009999996</v>
      </c>
      <c r="C12" s="1">
        <v>-0.66579383670000003</v>
      </c>
      <c r="D12" s="1">
        <v>-0.28860264730000001</v>
      </c>
      <c r="E12" s="1">
        <v>1.0766613473</v>
      </c>
      <c r="G12" s="24"/>
    </row>
    <row r="13" spans="1:8" x14ac:dyDescent="0.3">
      <c r="A13" s="1">
        <v>232</v>
      </c>
      <c r="B13" s="1">
        <v>0.97388409730000003</v>
      </c>
      <c r="C13" s="1">
        <v>-0.39848994859999998</v>
      </c>
      <c r="D13" s="1">
        <v>-0.17272025969999999</v>
      </c>
      <c r="E13" s="1">
        <v>1.0663380149999999</v>
      </c>
    </row>
    <row r="14" spans="1:8" x14ac:dyDescent="0.3">
      <c r="A14" s="1">
        <v>253</v>
      </c>
      <c r="B14" s="1">
        <v>1.0475598690000001</v>
      </c>
      <c r="C14" s="1">
        <v>-8.8314900500000001E-2</v>
      </c>
      <c r="D14" s="1">
        <v>-3.8255929600000002E-2</v>
      </c>
      <c r="E14" s="1">
        <v>1.0519718231999999</v>
      </c>
    </row>
    <row r="15" spans="1:8" x14ac:dyDescent="0.3">
      <c r="A15" s="1">
        <v>274</v>
      </c>
      <c r="B15" s="1">
        <v>1.0038148623000001</v>
      </c>
      <c r="C15" s="1">
        <v>0.23174287900000001</v>
      </c>
      <c r="D15" s="1">
        <v>0.1004893609</v>
      </c>
      <c r="E15" s="1">
        <v>1.035107314</v>
      </c>
    </row>
    <row r="16" spans="1:8" x14ac:dyDescent="0.3">
      <c r="A16" s="1">
        <v>295</v>
      </c>
      <c r="B16" s="1">
        <v>0.84197752049999997</v>
      </c>
      <c r="C16" s="1">
        <v>0.5245277156</v>
      </c>
      <c r="D16" s="1">
        <v>0.2274084398</v>
      </c>
      <c r="E16" s="1">
        <v>1.0177278948999999</v>
      </c>
    </row>
    <row r="17" spans="1:5" x14ac:dyDescent="0.3">
      <c r="A17" s="1">
        <v>316</v>
      </c>
      <c r="B17" s="1">
        <v>0.57592778499999997</v>
      </c>
      <c r="C17" s="1">
        <v>0.75239060369999999</v>
      </c>
      <c r="D17" s="1">
        <v>0.32618067620000002</v>
      </c>
      <c r="E17" s="1">
        <v>1.0020869561000001</v>
      </c>
    </row>
    <row r="18" spans="1:5" x14ac:dyDescent="0.3">
      <c r="A18" s="1">
        <v>337</v>
      </c>
      <c r="B18" s="1">
        <v>0.2351941568</v>
      </c>
      <c r="C18" s="1">
        <v>0.88270400159999995</v>
      </c>
      <c r="D18" s="1">
        <v>0.38266269949999998</v>
      </c>
      <c r="E18" s="1">
        <v>0.99041071650000001</v>
      </c>
    </row>
    <row r="19" spans="1:5" x14ac:dyDescent="0.3">
      <c r="A19" s="1">
        <v>358</v>
      </c>
      <c r="B19" s="1">
        <v>-0.13715031890000001</v>
      </c>
      <c r="C19" s="1">
        <v>0.8944644504</v>
      </c>
      <c r="D19" s="1">
        <v>0.38775060659999999</v>
      </c>
      <c r="E19" s="1">
        <v>0.98449347180000002</v>
      </c>
    </row>
    <row r="20" spans="1:5" x14ac:dyDescent="0.3">
      <c r="A20" s="1">
        <v>379</v>
      </c>
      <c r="B20" s="1">
        <v>-0.4907672877</v>
      </c>
      <c r="C20" s="1">
        <v>0.78388639260000004</v>
      </c>
      <c r="D20" s="1">
        <v>0.33980473360000002</v>
      </c>
      <c r="E20" s="1">
        <v>0.9852906495</v>
      </c>
    </row>
    <row r="21" spans="1:5" x14ac:dyDescent="0.3">
      <c r="A21" s="1">
        <v>400</v>
      </c>
      <c r="B21" s="1">
        <v>-0.77744298609999996</v>
      </c>
      <c r="C21" s="1">
        <v>0.56632176840000004</v>
      </c>
      <c r="D21" s="1">
        <v>0.24548155020000001</v>
      </c>
      <c r="E21" s="1">
        <v>0.99267272220000002</v>
      </c>
    </row>
    <row r="22" spans="1:5" x14ac:dyDescent="0.3">
      <c r="A22" s="1">
        <v>421</v>
      </c>
      <c r="B22" s="1">
        <v>-0.96037692080000003</v>
      </c>
      <c r="C22" s="1">
        <v>0.27314896690000001</v>
      </c>
      <c r="D22" s="1">
        <v>0.11838474860000001</v>
      </c>
      <c r="E22" s="1">
        <v>1.0054596644</v>
      </c>
    </row>
    <row r="23" spans="1:5" x14ac:dyDescent="0.3">
      <c r="A23" s="1">
        <v>442</v>
      </c>
      <c r="B23" s="1">
        <v>-1.0199489240999999</v>
      </c>
      <c r="C23" s="1">
        <v>-5.5135518699999997E-2</v>
      </c>
      <c r="D23" s="1">
        <v>-2.3929714599999999E-2</v>
      </c>
      <c r="E23" s="1">
        <v>1.0217183391</v>
      </c>
    </row>
    <row r="24" spans="1:5" x14ac:dyDescent="0.3">
      <c r="A24" s="1">
        <v>463</v>
      </c>
      <c r="B24" s="1">
        <v>-0.95463871570000003</v>
      </c>
      <c r="C24" s="1">
        <v>-0.37668481370000001</v>
      </c>
      <c r="D24" s="1">
        <v>-0.1633209873</v>
      </c>
      <c r="E24" s="1">
        <v>1.0391825014</v>
      </c>
    </row>
    <row r="25" spans="1:5" x14ac:dyDescent="0.3">
      <c r="A25" s="1">
        <v>484</v>
      </c>
      <c r="B25" s="1">
        <v>-0.7782289201</v>
      </c>
      <c r="C25" s="1">
        <v>-0.65440265529999997</v>
      </c>
      <c r="D25" s="1">
        <v>-0.28370805230000001</v>
      </c>
      <c r="E25" s="1">
        <v>1.0556388333</v>
      </c>
    </row>
    <row r="26" spans="1:5" x14ac:dyDescent="0.3">
      <c r="A26" s="1">
        <v>505</v>
      </c>
      <c r="B26" s="1">
        <v>-0.51542373419999998</v>
      </c>
      <c r="C26" s="1">
        <v>-0.85946771659999999</v>
      </c>
      <c r="D26" s="1">
        <v>-0.37259741709999999</v>
      </c>
      <c r="E26" s="1">
        <v>1.0691937227999999</v>
      </c>
    </row>
    <row r="27" spans="1:5" x14ac:dyDescent="0.3">
      <c r="A27" s="1">
        <v>526</v>
      </c>
      <c r="B27" s="1">
        <v>-0.19755886510000001</v>
      </c>
      <c r="C27" s="1">
        <v>-0.97269846459999998</v>
      </c>
      <c r="D27" s="1">
        <v>-0.42167466669999998</v>
      </c>
      <c r="E27" s="1">
        <v>1.0784161222999999</v>
      </c>
    </row>
    <row r="28" spans="1:5" x14ac:dyDescent="0.3">
      <c r="A28" s="1">
        <v>547</v>
      </c>
      <c r="B28" s="1">
        <v>0.1408569197</v>
      </c>
      <c r="C28" s="1">
        <v>-0.98465138829999999</v>
      </c>
      <c r="D28" s="1">
        <v>-0.42684695119999999</v>
      </c>
      <c r="E28" s="1">
        <v>1.0823942663999999</v>
      </c>
    </row>
    <row r="29" spans="1:5" x14ac:dyDescent="0.3">
      <c r="A29" s="1">
        <v>568</v>
      </c>
      <c r="B29" s="1">
        <v>0.46474636200000002</v>
      </c>
      <c r="C29" s="1">
        <v>-0.89522630849999996</v>
      </c>
      <c r="D29" s="1">
        <v>-0.38807181260000001</v>
      </c>
      <c r="E29" s="1">
        <v>1.0807493030999999</v>
      </c>
    </row>
    <row r="30" spans="1:5" x14ac:dyDescent="0.3">
      <c r="A30" s="1">
        <v>589</v>
      </c>
      <c r="B30" s="1">
        <v>0.74054871700000002</v>
      </c>
      <c r="C30" s="1">
        <v>-0.71322991520000001</v>
      </c>
      <c r="D30" s="1">
        <v>-0.30916791960000001</v>
      </c>
      <c r="E30" s="1">
        <v>1.073635933</v>
      </c>
    </row>
    <row r="31" spans="1:5" x14ac:dyDescent="0.3">
      <c r="A31" s="1">
        <v>610</v>
      </c>
      <c r="B31" s="1">
        <v>0.93822504470000001</v>
      </c>
      <c r="C31" s="1">
        <v>-0.45602657369999999</v>
      </c>
      <c r="D31" s="1">
        <v>-0.19766363449999999</v>
      </c>
      <c r="E31" s="1">
        <v>1.0617426161000001</v>
      </c>
    </row>
    <row r="32" spans="1:5" x14ac:dyDescent="0.3">
      <c r="A32" s="1">
        <v>631</v>
      </c>
      <c r="B32" s="1">
        <v>1.0335873202000001</v>
      </c>
      <c r="C32" s="1">
        <v>-0.14912053289999999</v>
      </c>
      <c r="D32" s="1">
        <v>-6.4615833999999997E-2</v>
      </c>
      <c r="E32" s="1">
        <v>1.0462862361</v>
      </c>
    </row>
    <row r="33" spans="1:5" x14ac:dyDescent="0.3">
      <c r="A33" s="1">
        <v>652</v>
      </c>
      <c r="B33" s="1">
        <v>1.0111943719000001</v>
      </c>
      <c r="C33" s="1">
        <v>0.17475431769999999</v>
      </c>
      <c r="D33" s="1">
        <v>7.5784764899999996E-2</v>
      </c>
      <c r="E33" s="1">
        <v>1.0289783573</v>
      </c>
    </row>
    <row r="34" spans="1:5" x14ac:dyDescent="0.3">
      <c r="A34" s="1">
        <v>673</v>
      </c>
      <c r="B34" s="1">
        <v>0.86770536549999999</v>
      </c>
      <c r="C34" s="1">
        <v>0.47768811750000001</v>
      </c>
      <c r="D34" s="1">
        <v>0.20710397310000001</v>
      </c>
      <c r="E34" s="1">
        <v>1.011924204</v>
      </c>
    </row>
    <row r="35" spans="1:5" x14ac:dyDescent="0.3">
      <c r="A35" s="1">
        <v>694</v>
      </c>
      <c r="B35" s="1">
        <v>0.61496727490000003</v>
      </c>
      <c r="C35" s="1">
        <v>0.72047448619999999</v>
      </c>
      <c r="D35" s="1">
        <v>0.3123459744</v>
      </c>
      <c r="E35" s="1">
        <v>0.99741076910000004</v>
      </c>
    </row>
    <row r="36" spans="1:5" x14ac:dyDescent="0.3">
      <c r="A36" s="1">
        <v>715</v>
      </c>
      <c r="B36" s="1">
        <v>0.28136282140000002</v>
      </c>
      <c r="C36" s="1">
        <v>0.86853434910000005</v>
      </c>
      <c r="D36" s="1">
        <v>0.37652136809999998</v>
      </c>
      <c r="E36" s="1">
        <v>0.98756533629999999</v>
      </c>
    </row>
    <row r="37" spans="1:5" x14ac:dyDescent="0.3">
      <c r="A37" s="1">
        <v>736</v>
      </c>
      <c r="B37" s="1">
        <v>-9.0378347400000003E-2</v>
      </c>
      <c r="C37" s="1">
        <v>0.89894129239999998</v>
      </c>
      <c r="D37" s="1">
        <v>0.38969263189999997</v>
      </c>
      <c r="E37" s="1">
        <v>0.98393294490000005</v>
      </c>
    </row>
    <row r="38" spans="1:5" x14ac:dyDescent="0.3">
      <c r="A38" s="1">
        <v>757</v>
      </c>
      <c r="B38" s="1">
        <v>-0.44976995209999998</v>
      </c>
      <c r="C38" s="1">
        <v>0.80619545989999997</v>
      </c>
      <c r="D38" s="1">
        <v>0.34947694979999999</v>
      </c>
      <c r="E38" s="1">
        <v>0.98710600630000001</v>
      </c>
    </row>
    <row r="39" spans="1:5" x14ac:dyDescent="0.3">
      <c r="A39" s="1">
        <v>778</v>
      </c>
      <c r="B39" s="1">
        <v>-0.74815858229999999</v>
      </c>
      <c r="C39" s="1">
        <v>0.60403000600000001</v>
      </c>
      <c r="D39" s="1">
        <v>0.2618290526</v>
      </c>
      <c r="E39" s="1">
        <v>0.99656809359999998</v>
      </c>
    </row>
    <row r="40" spans="1:5" x14ac:dyDescent="0.3">
      <c r="A40" s="1">
        <v>799</v>
      </c>
      <c r="B40" s="1">
        <v>-0.94788658160000006</v>
      </c>
      <c r="C40" s="1">
        <v>0.32216660229999999</v>
      </c>
      <c r="D40" s="1">
        <v>0.13963446169999999</v>
      </c>
      <c r="E40" s="1">
        <v>1.0108303884000001</v>
      </c>
    </row>
    <row r="41" spans="1:5" x14ac:dyDescent="0.3">
      <c r="A41" s="1">
        <v>820</v>
      </c>
      <c r="B41" s="1">
        <v>-1.0277917811999999</v>
      </c>
      <c r="C41" s="1">
        <v>-4.5110030000000001E-4</v>
      </c>
      <c r="D41" s="1">
        <v>-2.2398789999999999E-4</v>
      </c>
      <c r="E41" s="1">
        <v>1.0277919045999999</v>
      </c>
    </row>
    <row r="42" spans="1:5" x14ac:dyDescent="0.3">
      <c r="A42" s="1">
        <v>841</v>
      </c>
      <c r="B42" s="1">
        <v>-0.98407243609999995</v>
      </c>
      <c r="C42" s="1">
        <v>-0.32303326840000002</v>
      </c>
      <c r="D42" s="1">
        <v>-0.140063613</v>
      </c>
      <c r="E42" s="1">
        <v>1.0451635602</v>
      </c>
    </row>
    <row r="43" spans="1:5" x14ac:dyDescent="0.3">
      <c r="A43" s="1">
        <v>862</v>
      </c>
      <c r="B43" s="1">
        <v>-0.82777947249999995</v>
      </c>
      <c r="C43" s="1">
        <v>-0.60867140900000005</v>
      </c>
      <c r="D43" s="1">
        <v>-0.26388472019999998</v>
      </c>
      <c r="E43" s="1">
        <v>1.0608180262</v>
      </c>
    </row>
    <row r="44" spans="1:5" x14ac:dyDescent="0.3">
      <c r="A44" s="1">
        <v>883</v>
      </c>
      <c r="B44" s="1">
        <v>-0.58092399240000003</v>
      </c>
      <c r="C44" s="1">
        <v>-0.82771766739999997</v>
      </c>
      <c r="D44" s="1">
        <v>-0.3588354386</v>
      </c>
      <c r="E44" s="1">
        <v>1.0730107611999999</v>
      </c>
    </row>
    <row r="45" spans="1:5" x14ac:dyDescent="0.3">
      <c r="A45" s="1">
        <v>904</v>
      </c>
      <c r="B45" s="1">
        <v>-0.2726652973</v>
      </c>
      <c r="C45" s="1">
        <v>-0.95925786199999996</v>
      </c>
      <c r="D45" s="1">
        <v>-0.41585018229999998</v>
      </c>
      <c r="E45" s="1">
        <v>1.0804875678999999</v>
      </c>
    </row>
    <row r="46" spans="1:5" x14ac:dyDescent="0.3">
      <c r="A46" s="1">
        <v>925</v>
      </c>
      <c r="B46" s="1">
        <v>6.3803960500000007E-2</v>
      </c>
      <c r="C46" s="1">
        <v>-0.99148581280000003</v>
      </c>
      <c r="D46" s="1">
        <v>-0.42981183690000002</v>
      </c>
      <c r="E46" s="1">
        <v>1.0825217215</v>
      </c>
    </row>
    <row r="47" spans="1:5" x14ac:dyDescent="0.3">
      <c r="A47" s="1">
        <v>946</v>
      </c>
      <c r="B47" s="1">
        <v>0.39368162559999997</v>
      </c>
      <c r="C47" s="1">
        <v>-0.92166017710000003</v>
      </c>
      <c r="D47" s="1">
        <v>-0.39953298069999998</v>
      </c>
      <c r="E47" s="1">
        <v>1.078920436</v>
      </c>
    </row>
    <row r="48" spans="1:5" x14ac:dyDescent="0.3">
      <c r="A48" s="1">
        <v>967</v>
      </c>
      <c r="B48" s="1">
        <v>0.68260945910000004</v>
      </c>
      <c r="C48" s="1">
        <v>-0.75603741899999999</v>
      </c>
      <c r="D48" s="1">
        <v>-0.32772676979999998</v>
      </c>
      <c r="E48" s="1">
        <v>1.0700248072</v>
      </c>
    </row>
    <row r="49" spans="1:5" x14ac:dyDescent="0.3">
      <c r="A49" s="1">
        <v>988</v>
      </c>
      <c r="B49" s="1">
        <v>0.89878401399999996</v>
      </c>
      <c r="C49" s="1">
        <v>-0.50987940970000001</v>
      </c>
      <c r="D49" s="1">
        <v>-0.22101017449999999</v>
      </c>
      <c r="E49" s="1">
        <v>1.0567096165000001</v>
      </c>
    </row>
    <row r="50" spans="1:5" x14ac:dyDescent="0.3">
      <c r="A50" s="1">
        <v>1009</v>
      </c>
      <c r="B50" s="1">
        <v>1.0155318998</v>
      </c>
      <c r="C50" s="1">
        <v>-0.2073490757</v>
      </c>
      <c r="D50" s="1">
        <v>-8.9858671099999995E-2</v>
      </c>
      <c r="E50" s="1">
        <v>1.0403716929</v>
      </c>
    </row>
    <row r="51" spans="1:5" x14ac:dyDescent="0.3">
      <c r="A51" s="1">
        <v>1030</v>
      </c>
      <c r="B51" s="1">
        <v>1.0145942532000001</v>
      </c>
      <c r="C51" s="1">
        <v>0.1191855938</v>
      </c>
      <c r="D51" s="1">
        <v>5.1695564899999998E-2</v>
      </c>
      <c r="E51" s="1">
        <v>1.0228778694</v>
      </c>
    </row>
    <row r="52" spans="1:5" x14ac:dyDescent="0.3">
      <c r="A52" s="1">
        <v>1051</v>
      </c>
      <c r="B52" s="1">
        <v>0.88996836150000003</v>
      </c>
      <c r="C52" s="1">
        <v>0.4311735887</v>
      </c>
      <c r="D52" s="1">
        <v>0.18694032960000001</v>
      </c>
      <c r="E52" s="1">
        <v>1.0064298460000001</v>
      </c>
    </row>
    <row r="53" spans="1:5" x14ac:dyDescent="0.3">
      <c r="A53" s="1">
        <v>1072</v>
      </c>
      <c r="B53" s="1">
        <v>0.65145093089999995</v>
      </c>
      <c r="C53" s="1">
        <v>0.68797615479999996</v>
      </c>
      <c r="D53" s="1">
        <v>0.2982588095</v>
      </c>
      <c r="E53" s="1">
        <v>0.99330650980000001</v>
      </c>
    </row>
    <row r="54" spans="1:5" x14ac:dyDescent="0.3">
      <c r="A54" s="1">
        <v>1093</v>
      </c>
      <c r="B54" s="1">
        <v>0.32621044430000001</v>
      </c>
      <c r="C54" s="1">
        <v>0.8532034436</v>
      </c>
      <c r="D54" s="1">
        <v>0.36987659169999998</v>
      </c>
      <c r="E54" s="1">
        <v>0.98548366970000001</v>
      </c>
    </row>
    <row r="55" spans="1:5" x14ac:dyDescent="0.3">
      <c r="A55" s="1">
        <v>1114</v>
      </c>
      <c r="B55" s="1">
        <v>-4.3519292799999998E-2</v>
      </c>
      <c r="C55" s="1">
        <v>0.90212855110000001</v>
      </c>
      <c r="D55" s="1">
        <v>0.39107561930000001</v>
      </c>
      <c r="E55" s="1">
        <v>0.9842103391</v>
      </c>
    </row>
    <row r="56" spans="1:5" x14ac:dyDescent="0.3">
      <c r="A56" s="1">
        <v>1135</v>
      </c>
      <c r="B56" s="1">
        <v>-0.40732529070000001</v>
      </c>
      <c r="C56" s="1">
        <v>0.82757736640000001</v>
      </c>
      <c r="D56" s="1">
        <v>0.35874727760000003</v>
      </c>
      <c r="E56" s="1">
        <v>0.98969581139999996</v>
      </c>
    </row>
    <row r="57" spans="1:5" x14ac:dyDescent="0.3">
      <c r="A57" s="1">
        <v>1156</v>
      </c>
      <c r="B57" s="1">
        <v>-0.71632638309999996</v>
      </c>
      <c r="C57" s="1">
        <v>0.64159058930000001</v>
      </c>
      <c r="D57" s="1">
        <v>0.27811261659999997</v>
      </c>
      <c r="E57" s="1">
        <v>1.0010537442</v>
      </c>
    </row>
    <row r="58" spans="1:5" x14ac:dyDescent="0.3">
      <c r="A58" s="1">
        <v>1177</v>
      </c>
      <c r="B58" s="1">
        <v>-0.93213673399999997</v>
      </c>
      <c r="C58" s="1">
        <v>0.37208640160000001</v>
      </c>
      <c r="D58" s="1">
        <v>0.16127535709999999</v>
      </c>
      <c r="E58" s="1">
        <v>1.0165318106000001</v>
      </c>
    </row>
    <row r="59" spans="1:5" x14ac:dyDescent="0.3">
      <c r="A59" s="1">
        <v>1198</v>
      </c>
      <c r="B59" s="1">
        <v>-1.0320921487000001</v>
      </c>
      <c r="C59" s="1">
        <v>5.6302735299999997E-2</v>
      </c>
      <c r="D59" s="1">
        <v>2.43789386E-2</v>
      </c>
      <c r="E59" s="1">
        <v>1.0339141811999999</v>
      </c>
    </row>
    <row r="60" spans="1:5" x14ac:dyDescent="0.3">
      <c r="A60" s="1">
        <v>1219</v>
      </c>
      <c r="B60" s="1">
        <v>-1.0100994347000001</v>
      </c>
      <c r="C60" s="1">
        <v>-0.26615540329999998</v>
      </c>
      <c r="D60" s="1">
        <v>-0.1154075203</v>
      </c>
      <c r="E60" s="1">
        <v>1.0509321873999999</v>
      </c>
    </row>
    <row r="61" spans="1:5" x14ac:dyDescent="0.3">
      <c r="A61" s="1">
        <v>1240</v>
      </c>
      <c r="B61" s="1">
        <v>-0.87444557990000005</v>
      </c>
      <c r="C61" s="1">
        <v>-0.55867707349999995</v>
      </c>
      <c r="D61" s="1">
        <v>-0.2422132397</v>
      </c>
      <c r="E61" s="1">
        <v>1.0655713951000001</v>
      </c>
    </row>
    <row r="62" spans="1:5" x14ac:dyDescent="0.3">
      <c r="A62" s="1">
        <v>1261</v>
      </c>
      <c r="B62" s="1">
        <v>-0.64439308110000004</v>
      </c>
      <c r="C62" s="1">
        <v>-0.79089070689999996</v>
      </c>
      <c r="D62" s="1">
        <v>-0.3428725399</v>
      </c>
      <c r="E62" s="1">
        <v>1.0762491030000001</v>
      </c>
    </row>
    <row r="63" spans="1:5" x14ac:dyDescent="0.3">
      <c r="A63" s="1">
        <v>1282</v>
      </c>
      <c r="B63" s="1">
        <v>-0.34683525189999997</v>
      </c>
      <c r="C63" s="1">
        <v>-0.94024016310000003</v>
      </c>
      <c r="D63" s="1">
        <v>-0.40760797539999999</v>
      </c>
      <c r="E63" s="1">
        <v>1.0818921008</v>
      </c>
    </row>
    <row r="64" spans="1:5" x14ac:dyDescent="0.3">
      <c r="A64" s="1">
        <v>1303</v>
      </c>
      <c r="B64" s="1">
        <v>-1.35243816E-2</v>
      </c>
      <c r="C64" s="1">
        <v>-0.99261801579999998</v>
      </c>
      <c r="D64" s="1">
        <v>-0.43030479129999999</v>
      </c>
      <c r="E64" s="1">
        <v>1.0819591709</v>
      </c>
    </row>
    <row r="65" spans="1:5" x14ac:dyDescent="0.3">
      <c r="A65" s="1">
        <v>1324</v>
      </c>
      <c r="B65" s="1">
        <v>0.32115650670000001</v>
      </c>
      <c r="C65" s="1">
        <v>-0.94265800850000003</v>
      </c>
      <c r="D65" s="1">
        <v>-0.40863764229999999</v>
      </c>
      <c r="E65" s="1">
        <v>1.0764433777</v>
      </c>
    </row>
    <row r="66" spans="1:5" x14ac:dyDescent="0.3">
      <c r="A66" s="1">
        <v>1345</v>
      </c>
      <c r="B66" s="1">
        <v>0.62219145129999998</v>
      </c>
      <c r="C66" s="1">
        <v>-0.79403266480000001</v>
      </c>
      <c r="D66" s="1">
        <v>-0.34419955279999997</v>
      </c>
      <c r="E66" s="1">
        <v>1.0658721345</v>
      </c>
    </row>
    <row r="67" spans="1:5" x14ac:dyDescent="0.3">
      <c r="A67" s="1">
        <v>1366</v>
      </c>
      <c r="B67" s="1">
        <v>0.85612570929999998</v>
      </c>
      <c r="C67" s="1">
        <v>-0.55982665700000001</v>
      </c>
      <c r="D67" s="1">
        <v>-0.24266371319999999</v>
      </c>
      <c r="E67" s="1">
        <v>1.0513052810000001</v>
      </c>
    </row>
    <row r="68" spans="1:5" x14ac:dyDescent="0.3">
      <c r="A68" s="1">
        <v>1387</v>
      </c>
      <c r="B68" s="1">
        <v>0.99387670559999997</v>
      </c>
      <c r="C68" s="1">
        <v>-0.26276368570000003</v>
      </c>
      <c r="D68" s="1">
        <v>-0.1138817553</v>
      </c>
      <c r="E68" s="1">
        <v>1.0343136442</v>
      </c>
    </row>
    <row r="69" spans="1:5" x14ac:dyDescent="0.3">
      <c r="A69" s="1">
        <v>1408</v>
      </c>
      <c r="B69" s="1">
        <v>1.0144119864000001</v>
      </c>
      <c r="C69" s="1">
        <v>6.52601503E-2</v>
      </c>
      <c r="D69" s="1">
        <v>2.8318635200000001E-2</v>
      </c>
      <c r="E69" s="1">
        <v>1.0169033928</v>
      </c>
    </row>
    <row r="70" spans="1:5" x14ac:dyDescent="0.3">
      <c r="A70" s="1">
        <v>1429</v>
      </c>
      <c r="B70" s="1">
        <v>0.9090896544</v>
      </c>
      <c r="C70" s="1">
        <v>0.3851664836</v>
      </c>
      <c r="D70" s="1">
        <v>0.16699656960000001</v>
      </c>
      <c r="E70" s="1">
        <v>1.0013416370999999</v>
      </c>
    </row>
    <row r="71" spans="1:5" x14ac:dyDescent="0.3">
      <c r="A71" s="1">
        <v>1450</v>
      </c>
      <c r="B71" s="1">
        <v>0.68565157480000005</v>
      </c>
      <c r="C71" s="1">
        <v>0.65501862659999999</v>
      </c>
      <c r="D71" s="1">
        <v>0.28397251750000002</v>
      </c>
      <c r="E71" s="1">
        <v>0.98985245060000004</v>
      </c>
    </row>
    <row r="72" spans="1:5" x14ac:dyDescent="0.3">
      <c r="A72" s="1">
        <v>1471</v>
      </c>
      <c r="B72" s="1">
        <v>0.36998581679999998</v>
      </c>
      <c r="C72" s="1">
        <v>0.83677003819999995</v>
      </c>
      <c r="D72" s="1">
        <v>0.36275384690000001</v>
      </c>
      <c r="E72" s="1">
        <v>0.98420727230000005</v>
      </c>
    </row>
    <row r="73" spans="1:5" x14ac:dyDescent="0.3">
      <c r="A73" s="3"/>
      <c r="B73" s="3"/>
      <c r="C73" s="3"/>
      <c r="D73" s="4" t="s">
        <v>1</v>
      </c>
      <c r="E73" s="3">
        <f>AVERAGE(dt_21[r (Distance in AU)])</f>
        <v>1.0341536891450707</v>
      </c>
    </row>
  </sheetData>
  <mergeCells count="2">
    <mergeCell ref="G3:G5"/>
    <mergeCell ref="H3:H5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12A7-EA23-4D5F-8257-AA5EB1C8BC32}">
  <dimension ref="A1:H56"/>
  <sheetViews>
    <sheetView workbookViewId="0">
      <selection activeCell="E1" sqref="E1"/>
    </sheetView>
  </sheetViews>
  <sheetFormatPr defaultColWidth="9.109375" defaultRowHeight="15.6" x14ac:dyDescent="0.3"/>
  <cols>
    <col min="1" max="1" width="12.33203125" style="24" bestFit="1" customWidth="1"/>
    <col min="2" max="2" width="20.6640625" style="24" bestFit="1" customWidth="1"/>
    <col min="3" max="3" width="20.5546875" style="24" bestFit="1" customWidth="1"/>
    <col min="4" max="4" width="20.44140625" style="24" bestFit="1" customWidth="1"/>
    <col min="5" max="5" width="23.109375" style="24" bestFit="1" customWidth="1"/>
    <col min="6" max="6" width="9.109375" style="24"/>
    <col min="7" max="7" width="16.33203125" style="24" bestFit="1" customWidth="1"/>
    <col min="8" max="8" width="53" style="24" bestFit="1" customWidth="1"/>
    <col min="9" max="16384" width="9.109375" style="24"/>
  </cols>
  <sheetData>
    <row r="1" spans="1:8" x14ac:dyDescent="0.3">
      <c r="A1" s="23" t="s">
        <v>6</v>
      </c>
      <c r="B1" s="24" t="s">
        <v>5</v>
      </c>
      <c r="C1" s="24" t="s">
        <v>4</v>
      </c>
      <c r="D1" s="24" t="s">
        <v>3</v>
      </c>
      <c r="E1" s="23" t="s">
        <v>2</v>
      </c>
    </row>
    <row r="2" spans="1:8" x14ac:dyDescent="0.3">
      <c r="A2" s="23">
        <v>1</v>
      </c>
      <c r="B2" s="23">
        <v>-0.53057153609999996</v>
      </c>
      <c r="C2" s="23">
        <v>0.76065220509999998</v>
      </c>
      <c r="D2" s="23">
        <v>0.3297315066</v>
      </c>
      <c r="E2" s="23">
        <v>0.98428694920000004</v>
      </c>
    </row>
    <row r="3" spans="1:8" x14ac:dyDescent="0.3">
      <c r="A3" s="23">
        <v>29</v>
      </c>
      <c r="B3" s="23">
        <v>-0.87964943819999997</v>
      </c>
      <c r="C3" s="23">
        <v>0.42801012500000002</v>
      </c>
      <c r="D3" s="23">
        <v>0.18551999720000001</v>
      </c>
      <c r="E3" s="23">
        <v>0.99568743609999999</v>
      </c>
      <c r="G3" s="30" t="s">
        <v>11</v>
      </c>
      <c r="H3" s="30"/>
    </row>
    <row r="4" spans="1:8" x14ac:dyDescent="0.3">
      <c r="A4" s="23">
        <v>57</v>
      </c>
      <c r="B4" s="23">
        <v>-1.0219113554999999</v>
      </c>
      <c r="C4" s="23">
        <v>-5.3347843000000001E-3</v>
      </c>
      <c r="D4" s="23">
        <v>-2.3409244E-3</v>
      </c>
      <c r="E4" s="23">
        <v>1.0219279614000001</v>
      </c>
      <c r="G4" s="30"/>
      <c r="H4" s="30"/>
    </row>
    <row r="5" spans="1:8" x14ac:dyDescent="0.3">
      <c r="A5" s="23">
        <v>85</v>
      </c>
      <c r="B5" s="23">
        <v>-0.94185743960000001</v>
      </c>
      <c r="C5" s="23">
        <v>-0.43756030730000001</v>
      </c>
      <c r="D5" s="23">
        <v>-0.1897104366</v>
      </c>
      <c r="E5" s="23">
        <v>1.0557199008</v>
      </c>
      <c r="G5" s="30"/>
      <c r="H5" s="30"/>
    </row>
    <row r="6" spans="1:8" x14ac:dyDescent="0.3">
      <c r="A6" s="23">
        <v>113</v>
      </c>
      <c r="B6" s="23">
        <v>-0.67592840679999999</v>
      </c>
      <c r="C6" s="23">
        <v>-0.783448751</v>
      </c>
      <c r="D6" s="23">
        <v>-0.33964729059999998</v>
      </c>
      <c r="E6" s="23">
        <v>1.0890507052</v>
      </c>
      <c r="G6" s="25" t="s">
        <v>9</v>
      </c>
      <c r="H6" s="25" t="s">
        <v>12</v>
      </c>
    </row>
    <row r="7" spans="1:8" x14ac:dyDescent="0.3">
      <c r="A7" s="23">
        <v>141</v>
      </c>
      <c r="B7" s="23">
        <v>-0.28849647919999999</v>
      </c>
      <c r="C7" s="23">
        <v>-0.98848976040000003</v>
      </c>
      <c r="D7" s="23">
        <v>-0.42852278090000001</v>
      </c>
      <c r="E7" s="23">
        <v>1.1153358232999999</v>
      </c>
      <c r="G7" s="25" t="s">
        <v>10</v>
      </c>
      <c r="H7" s="20" t="s">
        <v>17</v>
      </c>
    </row>
    <row r="8" spans="1:8" x14ac:dyDescent="0.3">
      <c r="A8" s="23">
        <v>169</v>
      </c>
      <c r="B8" s="23">
        <v>0.14718241909999999</v>
      </c>
      <c r="C8" s="23">
        <v>-1.0281089045</v>
      </c>
      <c r="D8" s="23">
        <v>-0.44568580679999997</v>
      </c>
      <c r="E8" s="23">
        <v>1.1301798186000001</v>
      </c>
      <c r="G8" s="25" t="s">
        <v>7</v>
      </c>
      <c r="H8" s="26">
        <f>ABS((dt_28[[#Totals],[r (Distance in AU)]]-horizons_results_fin_use___Copy__2[[#Totals],[r (Distance in AU)]])/horizons_results_fin_use___Copy__2[[#Totals],[r (Distance in AU)]])</f>
        <v>6.0447689457849445E-2</v>
      </c>
    </row>
    <row r="9" spans="1:8" x14ac:dyDescent="0.3">
      <c r="A9" s="23">
        <v>197</v>
      </c>
      <c r="B9" s="23">
        <v>0.55914903000000005</v>
      </c>
      <c r="C9" s="23">
        <v>-0.90240668999999996</v>
      </c>
      <c r="D9" s="23">
        <v>-0.39118192889999998</v>
      </c>
      <c r="E9" s="23">
        <v>1.1313747272000001</v>
      </c>
    </row>
    <row r="10" spans="1:8" x14ac:dyDescent="0.3">
      <c r="A10" s="23">
        <v>225</v>
      </c>
      <c r="B10" s="23">
        <v>0.8814579964</v>
      </c>
      <c r="C10" s="23">
        <v>-0.63210458110000001</v>
      </c>
      <c r="D10" s="23">
        <v>-0.2739958207</v>
      </c>
      <c r="E10" s="23">
        <v>1.1187484572999999</v>
      </c>
    </row>
    <row r="11" spans="1:8" x14ac:dyDescent="0.3">
      <c r="A11" s="23">
        <v>253</v>
      </c>
      <c r="B11" s="23">
        <v>1.0576628983</v>
      </c>
      <c r="C11" s="23">
        <v>-0.2570936237</v>
      </c>
      <c r="D11" s="23">
        <v>-0.111421993</v>
      </c>
      <c r="E11" s="23">
        <v>1.0941493492000001</v>
      </c>
    </row>
    <row r="12" spans="1:8" x14ac:dyDescent="0.3">
      <c r="A12" s="23">
        <v>281</v>
      </c>
      <c r="B12" s="23">
        <v>1.0465395400999999</v>
      </c>
      <c r="C12" s="23">
        <v>0.16340474669999999</v>
      </c>
      <c r="D12" s="23">
        <v>7.0865652200000004E-2</v>
      </c>
      <c r="E12" s="23">
        <v>1.0615875191999999</v>
      </c>
    </row>
    <row r="13" spans="1:8" x14ac:dyDescent="0.3">
      <c r="A13" s="23">
        <v>309</v>
      </c>
      <c r="B13" s="23">
        <v>0.83253433480000005</v>
      </c>
      <c r="C13" s="23">
        <v>0.55219244320000005</v>
      </c>
      <c r="D13" s="23">
        <v>0.23940096359999999</v>
      </c>
      <c r="E13" s="23">
        <v>1.0272987561</v>
      </c>
    </row>
    <row r="14" spans="1:8" x14ac:dyDescent="0.3">
      <c r="A14" s="23">
        <v>337</v>
      </c>
      <c r="B14" s="23">
        <v>0.44044922980000001</v>
      </c>
      <c r="C14" s="23">
        <v>0.82285642849999996</v>
      </c>
      <c r="D14" s="23">
        <v>0.3567241833</v>
      </c>
      <c r="E14" s="23">
        <v>0.99916983989999997</v>
      </c>
    </row>
    <row r="15" spans="1:8" x14ac:dyDescent="0.3">
      <c r="A15" s="23">
        <v>365</v>
      </c>
      <c r="B15" s="23">
        <v>-5.4062735899999999E-2</v>
      </c>
      <c r="C15" s="23">
        <v>0.90222595189999999</v>
      </c>
      <c r="D15" s="23">
        <v>0.39111755139999999</v>
      </c>
      <c r="E15" s="23">
        <v>0.98483876179999996</v>
      </c>
    </row>
    <row r="16" spans="1:8" x14ac:dyDescent="0.3">
      <c r="A16" s="23">
        <v>393</v>
      </c>
      <c r="B16" s="23">
        <v>-0.53551191980000001</v>
      </c>
      <c r="C16" s="23">
        <v>0.76249926050000005</v>
      </c>
      <c r="D16" s="23">
        <v>0.33053207690000003</v>
      </c>
      <c r="E16" s="23">
        <v>0.98865038940000005</v>
      </c>
    </row>
    <row r="17" spans="1:5" x14ac:dyDescent="0.3">
      <c r="A17" s="23">
        <v>421</v>
      </c>
      <c r="B17" s="23">
        <v>-0.8884458744</v>
      </c>
      <c r="C17" s="23">
        <v>0.43964219500000001</v>
      </c>
      <c r="D17" s="23">
        <v>0.19056230900000001</v>
      </c>
      <c r="E17" s="23">
        <v>1.0094232635</v>
      </c>
    </row>
    <row r="18" spans="1:5" x14ac:dyDescent="0.3">
      <c r="A18" s="23">
        <v>449</v>
      </c>
      <c r="B18" s="23">
        <v>-1.0409163432999999</v>
      </c>
      <c r="C18" s="23">
        <v>1.75076259E-2</v>
      </c>
      <c r="D18" s="23">
        <v>7.5608384000000004E-3</v>
      </c>
      <c r="E18" s="23">
        <v>1.0410910224000001</v>
      </c>
    </row>
    <row r="19" spans="1:5" x14ac:dyDescent="0.3">
      <c r="A19" s="23">
        <v>477</v>
      </c>
      <c r="B19" s="23">
        <v>-0.97921291939999999</v>
      </c>
      <c r="C19" s="23">
        <v>-0.40827654029999999</v>
      </c>
      <c r="D19" s="23">
        <v>-0.1770168241</v>
      </c>
      <c r="E19" s="23">
        <v>1.0755847855</v>
      </c>
    </row>
    <row r="20" spans="1:5" x14ac:dyDescent="0.3">
      <c r="A20" s="23">
        <v>505</v>
      </c>
      <c r="B20" s="23">
        <v>-0.73476459650000003</v>
      </c>
      <c r="C20" s="23">
        <v>-0.75788861699999999</v>
      </c>
      <c r="D20" s="23">
        <v>-0.32856848420000001</v>
      </c>
      <c r="E20" s="23">
        <v>1.1055457552000001</v>
      </c>
    </row>
    <row r="21" spans="1:5" x14ac:dyDescent="0.3">
      <c r="A21" s="23">
        <v>533</v>
      </c>
      <c r="B21" s="23">
        <v>-0.36404780469999998</v>
      </c>
      <c r="C21" s="23">
        <v>-0.97725152439999996</v>
      </c>
      <c r="D21" s="23">
        <v>-0.42365304479999999</v>
      </c>
      <c r="E21" s="23">
        <v>1.1256257141999999</v>
      </c>
    </row>
    <row r="22" spans="1:5" x14ac:dyDescent="0.3">
      <c r="A22" s="23">
        <v>561</v>
      </c>
      <c r="B22" s="23">
        <v>6.5912985800000004E-2</v>
      </c>
      <c r="C22" s="23">
        <v>-1.0375025420999999</v>
      </c>
      <c r="D22" s="23">
        <v>-0.4497602396</v>
      </c>
      <c r="E22" s="23">
        <v>1.1327136972</v>
      </c>
    </row>
    <row r="23" spans="1:5" x14ac:dyDescent="0.3">
      <c r="A23" s="23">
        <v>589</v>
      </c>
      <c r="B23" s="23">
        <v>0.48530005370000001</v>
      </c>
      <c r="C23" s="23">
        <v>-0.93201926290000003</v>
      </c>
      <c r="D23" s="23">
        <v>-0.4040211568</v>
      </c>
      <c r="E23" s="23">
        <v>1.1257926734999999</v>
      </c>
    </row>
    <row r="24" spans="1:5" x14ac:dyDescent="0.3">
      <c r="A24" s="23">
        <v>617</v>
      </c>
      <c r="B24" s="23">
        <v>0.82568916319999996</v>
      </c>
      <c r="C24" s="23">
        <v>-0.67494175010000002</v>
      </c>
      <c r="D24" s="23">
        <v>-0.29256747080000001</v>
      </c>
      <c r="E24" s="23">
        <v>1.1058502092</v>
      </c>
    </row>
    <row r="25" spans="1:5" x14ac:dyDescent="0.3">
      <c r="A25" s="23">
        <v>645</v>
      </c>
      <c r="B25" s="23">
        <v>1.0243539893</v>
      </c>
      <c r="C25" s="23">
        <v>-0.30209329750000002</v>
      </c>
      <c r="D25" s="23">
        <v>-0.13093047739999999</v>
      </c>
      <c r="E25" s="23">
        <v>1.0759666564000001</v>
      </c>
    </row>
    <row r="26" spans="1:5" x14ac:dyDescent="0.3">
      <c r="A26" s="23">
        <v>673</v>
      </c>
      <c r="B26" s="23">
        <v>1.0322256877</v>
      </c>
      <c r="C26" s="23">
        <v>0.12696228170000001</v>
      </c>
      <c r="D26" s="23">
        <v>5.5067282100000003E-2</v>
      </c>
      <c r="E26" s="23">
        <v>1.0414613276</v>
      </c>
    </row>
    <row r="27" spans="1:5" x14ac:dyDescent="0.3">
      <c r="A27" s="23">
        <v>701</v>
      </c>
      <c r="B27" s="23">
        <v>0.8281700259</v>
      </c>
      <c r="C27" s="23">
        <v>0.52990746310000003</v>
      </c>
      <c r="D27" s="23">
        <v>0.22974020279999999</v>
      </c>
      <c r="E27" s="23">
        <v>1.0096772117999999</v>
      </c>
    </row>
    <row r="28" spans="1:5" x14ac:dyDescent="0.3">
      <c r="A28" s="23">
        <v>729</v>
      </c>
      <c r="B28" s="23">
        <v>0.43754752390000001</v>
      </c>
      <c r="C28" s="23">
        <v>0.81345999769999999</v>
      </c>
      <c r="D28" s="23">
        <v>0.35265070749999999</v>
      </c>
      <c r="E28" s="23">
        <v>0.98869991660000001</v>
      </c>
    </row>
    <row r="29" spans="1:5" x14ac:dyDescent="0.3">
      <c r="A29" s="23">
        <v>757</v>
      </c>
      <c r="B29" s="23">
        <v>-5.80834831E-2</v>
      </c>
      <c r="C29" s="23">
        <v>0.90184738440000001</v>
      </c>
      <c r="D29" s="23">
        <v>0.39095332939999999</v>
      </c>
      <c r="E29" s="23">
        <v>0.98465572739999996</v>
      </c>
    </row>
    <row r="30" spans="1:5" x14ac:dyDescent="0.3">
      <c r="A30" s="23">
        <v>785</v>
      </c>
      <c r="B30" s="23">
        <v>-0.5396721498</v>
      </c>
      <c r="C30" s="23">
        <v>0.771124009</v>
      </c>
      <c r="D30" s="23">
        <v>0.33427082940000002</v>
      </c>
      <c r="E30" s="23">
        <v>0.99880691529999999</v>
      </c>
    </row>
    <row r="31" spans="1:5" x14ac:dyDescent="0.3">
      <c r="A31" s="23">
        <v>813</v>
      </c>
      <c r="B31" s="23">
        <v>-0.8956700205</v>
      </c>
      <c r="C31" s="23">
        <v>0.46079757560000001</v>
      </c>
      <c r="D31" s="23">
        <v>0.19973306269999999</v>
      </c>
      <c r="E31" s="23">
        <v>1.0268653698000001</v>
      </c>
    </row>
    <row r="32" spans="1:5" x14ac:dyDescent="0.3">
      <c r="A32" s="23">
        <v>841</v>
      </c>
      <c r="B32" s="23">
        <v>-1.05970955</v>
      </c>
      <c r="C32" s="23">
        <v>5.1628617600000003E-2</v>
      </c>
      <c r="D32" s="23">
        <v>2.23519233E-2</v>
      </c>
      <c r="E32" s="23">
        <v>1.0612018908</v>
      </c>
    </row>
    <row r="33" spans="1:5" x14ac:dyDescent="0.3">
      <c r="A33" s="23">
        <v>869</v>
      </c>
      <c r="B33" s="23">
        <v>-1.0178749401</v>
      </c>
      <c r="C33" s="23">
        <v>-0.3676236303</v>
      </c>
      <c r="D33" s="23">
        <v>-0.15939467260000001</v>
      </c>
      <c r="E33" s="23">
        <v>1.0939027329</v>
      </c>
    </row>
    <row r="34" spans="1:5" x14ac:dyDescent="0.3">
      <c r="A34" s="23">
        <v>897</v>
      </c>
      <c r="B34" s="23">
        <v>-0.79545819740000001</v>
      </c>
      <c r="C34" s="23">
        <v>-0.72168457850000001</v>
      </c>
      <c r="D34" s="23">
        <v>-0.31287554820000002</v>
      </c>
      <c r="E34" s="23">
        <v>1.1186927564</v>
      </c>
    </row>
    <row r="35" spans="1:5" x14ac:dyDescent="0.3">
      <c r="A35" s="23">
        <v>925</v>
      </c>
      <c r="B35" s="23">
        <v>-0.441092981</v>
      </c>
      <c r="C35" s="23">
        <v>-0.956037209</v>
      </c>
      <c r="D35" s="23">
        <v>-0.41445867419999999</v>
      </c>
      <c r="E35" s="23">
        <v>1.1315238201</v>
      </c>
    </row>
    <row r="36" spans="1:5" x14ac:dyDescent="0.3">
      <c r="A36" s="23">
        <v>953</v>
      </c>
      <c r="B36" s="23">
        <v>-1.60461288E-2</v>
      </c>
      <c r="C36" s="23">
        <v>-1.0371399192999999</v>
      </c>
      <c r="D36" s="23">
        <v>-0.44960530840000001</v>
      </c>
      <c r="E36" s="23">
        <v>1.130513876</v>
      </c>
    </row>
    <row r="37" spans="1:5" x14ac:dyDescent="0.3">
      <c r="A37" s="23">
        <v>981</v>
      </c>
      <c r="B37" s="23">
        <v>0.41153564269999998</v>
      </c>
      <c r="C37" s="23">
        <v>-0.95157710780000004</v>
      </c>
      <c r="D37" s="23">
        <v>-0.41250161210000003</v>
      </c>
      <c r="E37" s="23">
        <v>1.1158038167</v>
      </c>
    </row>
    <row r="38" spans="1:5" x14ac:dyDescent="0.3">
      <c r="A38" s="23">
        <v>1009</v>
      </c>
      <c r="B38" s="23">
        <v>0.77029267499999998</v>
      </c>
      <c r="C38" s="23">
        <v>-0.70702614649999995</v>
      </c>
      <c r="D38" s="23">
        <v>-0.30647773480000001</v>
      </c>
      <c r="E38" s="23">
        <v>1.0895711904000001</v>
      </c>
    </row>
    <row r="39" spans="1:5" x14ac:dyDescent="0.3">
      <c r="A39" s="23">
        <v>1037</v>
      </c>
      <c r="B39" s="23">
        <v>0.99079823899999997</v>
      </c>
      <c r="C39" s="23">
        <v>-0.33567383550000002</v>
      </c>
      <c r="D39" s="23">
        <v>-0.1454887215</v>
      </c>
      <c r="E39" s="23">
        <v>1.0561841895999999</v>
      </c>
    </row>
    <row r="40" spans="1:5" x14ac:dyDescent="0.3">
      <c r="A40" s="23">
        <v>1065</v>
      </c>
      <c r="B40" s="23">
        <v>1.0161842784999999</v>
      </c>
      <c r="C40" s="23">
        <v>0.1017100049</v>
      </c>
      <c r="D40" s="23">
        <v>4.4119861699999999E-2</v>
      </c>
      <c r="E40" s="23">
        <v>1.0222142511000001</v>
      </c>
    </row>
    <row r="41" spans="1:5" x14ac:dyDescent="0.3">
      <c r="A41" s="23">
        <v>1093</v>
      </c>
      <c r="B41" s="23">
        <v>0.82093488270000003</v>
      </c>
      <c r="C41" s="23">
        <v>0.51695562299999998</v>
      </c>
      <c r="D41" s="23">
        <v>0.2241253211</v>
      </c>
      <c r="E41" s="23">
        <v>0.99569541390000005</v>
      </c>
    </row>
    <row r="42" spans="1:5" x14ac:dyDescent="0.3">
      <c r="A42" s="23">
        <v>1121</v>
      </c>
      <c r="B42" s="23">
        <v>0.43286541429999997</v>
      </c>
      <c r="C42" s="23">
        <v>0.81075438300000002</v>
      </c>
      <c r="D42" s="23">
        <v>0.35147768169999999</v>
      </c>
      <c r="E42" s="23">
        <v>0.98398765089999995</v>
      </c>
    </row>
    <row r="43" spans="1:5" x14ac:dyDescent="0.3">
      <c r="A43" s="23">
        <v>1149</v>
      </c>
      <c r="B43" s="23">
        <v>-6.0579032099999999E-2</v>
      </c>
      <c r="C43" s="23">
        <v>0.90724496290000001</v>
      </c>
      <c r="D43" s="23">
        <v>0.39329313510000002</v>
      </c>
      <c r="E43" s="23">
        <v>0.99067791530000004</v>
      </c>
    </row>
    <row r="44" spans="1:5" x14ac:dyDescent="0.3">
      <c r="A44" s="23">
        <v>1177</v>
      </c>
      <c r="B44" s="23">
        <v>-0.53964487000000005</v>
      </c>
      <c r="C44" s="23">
        <v>0.78732375919999997</v>
      </c>
      <c r="D44" s="23">
        <v>0.34129349539999998</v>
      </c>
      <c r="E44" s="23">
        <v>1.0136944991000001</v>
      </c>
    </row>
    <row r="45" spans="1:5" x14ac:dyDescent="0.3">
      <c r="A45" s="23">
        <v>1205</v>
      </c>
      <c r="B45" s="23">
        <v>-0.89859122420000004</v>
      </c>
      <c r="C45" s="23">
        <v>0.49199579850000003</v>
      </c>
      <c r="D45" s="23">
        <v>0.21325755320000001</v>
      </c>
      <c r="E45" s="23">
        <v>1.0464247885</v>
      </c>
    </row>
    <row r="46" spans="1:5" x14ac:dyDescent="0.3">
      <c r="A46" s="23">
        <v>1233</v>
      </c>
      <c r="B46" s="23">
        <v>-1.0755651575</v>
      </c>
      <c r="C46" s="23">
        <v>9.6943721400000002E-2</v>
      </c>
      <c r="D46" s="23">
        <v>4.1995787899999998E-2</v>
      </c>
      <c r="E46" s="23">
        <v>1.0807414766000001</v>
      </c>
    </row>
    <row r="47" spans="1:5" x14ac:dyDescent="0.3">
      <c r="A47" s="23">
        <v>1261</v>
      </c>
      <c r="B47" s="23">
        <v>-1.0547215828000001</v>
      </c>
      <c r="C47" s="23">
        <v>-0.31599725220000002</v>
      </c>
      <c r="D47" s="23">
        <v>-0.13701542259999999</v>
      </c>
      <c r="E47" s="23">
        <v>1.1095337339</v>
      </c>
    </row>
    <row r="48" spans="1:5" x14ac:dyDescent="0.3">
      <c r="A48" s="23">
        <v>1289</v>
      </c>
      <c r="B48" s="23">
        <v>-0.854553067</v>
      </c>
      <c r="C48" s="23">
        <v>-0.67524814799999999</v>
      </c>
      <c r="D48" s="23">
        <v>-0.29274677960000001</v>
      </c>
      <c r="E48" s="23">
        <v>1.1277950535000001</v>
      </c>
    </row>
    <row r="49" spans="1:5" x14ac:dyDescent="0.3">
      <c r="A49" s="23">
        <v>1317</v>
      </c>
      <c r="B49" s="23">
        <v>-0.51602615809999997</v>
      </c>
      <c r="C49" s="23">
        <v>-0.9251834807</v>
      </c>
      <c r="D49" s="23">
        <v>-0.40108551580000001</v>
      </c>
      <c r="E49" s="23">
        <v>1.1327475710999999</v>
      </c>
    </row>
    <row r="50" spans="1:5" x14ac:dyDescent="0.3">
      <c r="A50" s="23">
        <v>1345</v>
      </c>
      <c r="B50" s="23">
        <v>-9.5061828400000006E-2</v>
      </c>
      <c r="C50" s="23">
        <v>-1.0272829570999999</v>
      </c>
      <c r="D50" s="23">
        <v>-0.44533445649999998</v>
      </c>
      <c r="E50" s="23">
        <v>1.1236858116999999</v>
      </c>
    </row>
    <row r="51" spans="1:5" x14ac:dyDescent="0.3">
      <c r="A51" s="23">
        <v>1373</v>
      </c>
      <c r="B51" s="23">
        <v>0.34141827549999998</v>
      </c>
      <c r="C51" s="23">
        <v>-0.96125282140000001</v>
      </c>
      <c r="D51" s="23">
        <v>-0.41669801760000003</v>
      </c>
      <c r="E51" s="23">
        <v>1.1019122756999999</v>
      </c>
    </row>
    <row r="52" spans="1:5" x14ac:dyDescent="0.3">
      <c r="A52" s="23">
        <v>1401</v>
      </c>
      <c r="B52" s="23">
        <v>0.71859367870000002</v>
      </c>
      <c r="C52" s="23">
        <v>-0.72844646790000001</v>
      </c>
      <c r="D52" s="23">
        <v>-0.31576497170000001</v>
      </c>
      <c r="E52" s="23">
        <v>1.0708494987999999</v>
      </c>
    </row>
    <row r="53" spans="1:5" x14ac:dyDescent="0.3">
      <c r="A53" s="23">
        <v>1429</v>
      </c>
      <c r="B53" s="23">
        <v>0.9598917911</v>
      </c>
      <c r="C53" s="23">
        <v>-0.35801386470000002</v>
      </c>
      <c r="D53" s="23">
        <v>-0.15517408059999999</v>
      </c>
      <c r="E53" s="23">
        <v>1.0361685061999999</v>
      </c>
    </row>
    <row r="54" spans="1:5" x14ac:dyDescent="0.3">
      <c r="A54" s="23">
        <v>1457</v>
      </c>
      <c r="B54" s="23">
        <v>1.0009775192000001</v>
      </c>
      <c r="C54" s="23">
        <v>8.7004792900000003E-2</v>
      </c>
      <c r="D54" s="23">
        <v>3.7744664800000001E-2</v>
      </c>
      <c r="E54" s="23">
        <v>1.0054603362000001</v>
      </c>
    </row>
    <row r="55" spans="1:5" x14ac:dyDescent="0.3">
      <c r="A55" s="23">
        <v>1485</v>
      </c>
      <c r="B55" s="23">
        <v>0.81369088430000003</v>
      </c>
      <c r="C55" s="23">
        <v>0.51210721940000004</v>
      </c>
      <c r="D55" s="23">
        <v>0.2220233157</v>
      </c>
      <c r="E55" s="23">
        <v>0.98673249269999996</v>
      </c>
    </row>
    <row r="56" spans="1:5" x14ac:dyDescent="0.3">
      <c r="A56" s="23"/>
      <c r="B56" s="23"/>
      <c r="C56" s="23"/>
      <c r="D56" s="27" t="s">
        <v>1</v>
      </c>
      <c r="E56" s="23">
        <f>AVERAGE(dt_28[r (Distance in AU)])</f>
        <v>1.0605830034888892</v>
      </c>
    </row>
  </sheetData>
  <mergeCells count="2">
    <mergeCell ref="G3:G5"/>
    <mergeCell ref="H3:H5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58B1-BC1F-4B97-88E2-054FAE7A042E}">
  <dimension ref="A1:H52"/>
  <sheetViews>
    <sheetView tabSelected="1" zoomScaleNormal="100" workbookViewId="0">
      <selection activeCell="H16" sqref="H16"/>
    </sheetView>
  </sheetViews>
  <sheetFormatPr defaultColWidth="8.88671875" defaultRowHeight="15.6" x14ac:dyDescent="0.3"/>
  <cols>
    <col min="1" max="1" width="11.44140625" style="14" bestFit="1" customWidth="1"/>
    <col min="2" max="3" width="12.6640625" style="14" bestFit="1" customWidth="1"/>
    <col min="4" max="4" width="18.88671875" style="14" bestFit="1" customWidth="1"/>
    <col min="5" max="5" width="19" style="14" bestFit="1" customWidth="1"/>
    <col min="6" max="6" width="8.88671875" style="14"/>
    <col min="7" max="7" width="17" style="14" bestFit="1" customWidth="1"/>
    <col min="8" max="8" width="55.5546875" style="14" bestFit="1" customWidth="1"/>
    <col min="9" max="16384" width="8.88671875" style="14"/>
  </cols>
  <sheetData>
    <row r="1" spans="1:8" x14ac:dyDescent="0.3">
      <c r="A1" s="14" t="s">
        <v>6</v>
      </c>
      <c r="B1" s="9" t="s">
        <v>5</v>
      </c>
      <c r="C1" s="9" t="s">
        <v>4</v>
      </c>
      <c r="D1" s="9" t="s">
        <v>3</v>
      </c>
      <c r="E1" s="14" t="s">
        <v>2</v>
      </c>
    </row>
    <row r="2" spans="1:8" x14ac:dyDescent="0.3">
      <c r="A2" s="14">
        <v>1</v>
      </c>
      <c r="B2" s="14">
        <v>-0.53057153609999996</v>
      </c>
      <c r="C2" s="14">
        <v>0.76065220509999998</v>
      </c>
      <c r="D2" s="14">
        <v>0.3297315066</v>
      </c>
      <c r="E2" s="14">
        <v>0.98428694920000004</v>
      </c>
    </row>
    <row r="3" spans="1:8" x14ac:dyDescent="0.3">
      <c r="A3" s="14">
        <v>31</v>
      </c>
      <c r="B3" s="14">
        <v>-0.8996738514</v>
      </c>
      <c r="C3" s="14">
        <v>0.39717801050000001</v>
      </c>
      <c r="D3" s="14">
        <v>0.17215358159999999</v>
      </c>
      <c r="E3" s="14">
        <v>0.99839885139999995</v>
      </c>
      <c r="G3" s="31" t="s">
        <v>18</v>
      </c>
      <c r="H3" s="31"/>
    </row>
    <row r="4" spans="1:8" x14ac:dyDescent="0.3">
      <c r="A4" s="14">
        <v>61</v>
      </c>
      <c r="B4" s="14">
        <v>-1.0279453528</v>
      </c>
      <c r="C4" s="14">
        <v>-7.27367602E-2</v>
      </c>
      <c r="D4" s="14">
        <v>-3.1560154E-2</v>
      </c>
      <c r="E4" s="14">
        <v>1.0309987041999999</v>
      </c>
      <c r="G4" s="31"/>
      <c r="H4" s="31"/>
    </row>
    <row r="5" spans="1:8" x14ac:dyDescent="0.3">
      <c r="A5" s="14">
        <v>91</v>
      </c>
      <c r="B5" s="14">
        <v>-0.90617548250000002</v>
      </c>
      <c r="C5" s="14">
        <v>-0.52503300919999996</v>
      </c>
      <c r="D5" s="14">
        <v>-0.22762926289999999</v>
      </c>
      <c r="E5" s="14">
        <v>1.0717409889</v>
      </c>
      <c r="G5" s="31"/>
      <c r="H5" s="31"/>
    </row>
    <row r="6" spans="1:8" x14ac:dyDescent="0.3">
      <c r="A6" s="14">
        <v>121</v>
      </c>
      <c r="B6" s="14">
        <v>-0.5881269402</v>
      </c>
      <c r="C6" s="14">
        <v>-0.86364054440000004</v>
      </c>
      <c r="D6" s="14">
        <v>-0.37440836820000001</v>
      </c>
      <c r="E6" s="14">
        <v>1.1099323915999999</v>
      </c>
      <c r="G6" s="20" t="s">
        <v>9</v>
      </c>
      <c r="H6" s="20" t="s">
        <v>12</v>
      </c>
    </row>
    <row r="7" spans="1:8" x14ac:dyDescent="0.3">
      <c r="A7" s="14">
        <v>151</v>
      </c>
      <c r="B7" s="14">
        <v>-0.15541041659999999</v>
      </c>
      <c r="C7" s="14">
        <v>-1.0338419785999999</v>
      </c>
      <c r="D7" s="14">
        <v>-0.44817949159999998</v>
      </c>
      <c r="E7" s="14">
        <v>1.1374737319999999</v>
      </c>
      <c r="G7" s="20" t="s">
        <v>10</v>
      </c>
      <c r="H7" s="20" t="s">
        <v>17</v>
      </c>
    </row>
    <row r="8" spans="1:8" x14ac:dyDescent="0.3">
      <c r="A8" s="14">
        <v>181</v>
      </c>
      <c r="B8" s="14">
        <v>0.3054127868</v>
      </c>
      <c r="C8" s="14">
        <v>-1.0167653938000001</v>
      </c>
      <c r="D8" s="14">
        <v>-0.4407639659</v>
      </c>
      <c r="E8" s="14">
        <v>1.1495049848000001</v>
      </c>
      <c r="G8" s="20" t="s">
        <v>7</v>
      </c>
      <c r="H8" s="21">
        <f>ABS((dt_30[[#Totals],[r (Distance in AU)]]-horizons_results_fin_use___Copy__2[[#Totals],[r (Distance in AU)]])/horizons_results_fin_use___Copy__2[[#Totals],[r (Distance in AU)]])</f>
        <v>7.0793882817849721E-2</v>
      </c>
    </row>
    <row r="9" spans="1:8" x14ac:dyDescent="0.3">
      <c r="A9" s="14">
        <v>211</v>
      </c>
      <c r="B9" s="14">
        <v>0.71257766450000004</v>
      </c>
      <c r="C9" s="14">
        <v>-0.82129014600000005</v>
      </c>
      <c r="D9" s="14">
        <v>-0.3560132942</v>
      </c>
      <c r="E9" s="14">
        <v>1.1441284445</v>
      </c>
    </row>
    <row r="10" spans="1:8" x14ac:dyDescent="0.3">
      <c r="A10" s="14">
        <v>241</v>
      </c>
      <c r="B10" s="14">
        <v>0.99290490229999995</v>
      </c>
      <c r="C10" s="14">
        <v>-0.47975134359999999</v>
      </c>
      <c r="D10" s="14">
        <v>-0.2079469172</v>
      </c>
      <c r="E10" s="14">
        <v>1.122169068</v>
      </c>
    </row>
    <row r="11" spans="1:8" x14ac:dyDescent="0.3">
      <c r="A11" s="14">
        <v>271</v>
      </c>
      <c r="B11" s="14">
        <v>1.0860380104</v>
      </c>
      <c r="C11" s="14">
        <v>-4.78587834E-2</v>
      </c>
      <c r="D11" s="14">
        <v>-2.0716954700000002E-2</v>
      </c>
      <c r="E11" s="14">
        <v>1.0872893889999999</v>
      </c>
    </row>
    <row r="12" spans="1:8" x14ac:dyDescent="0.3">
      <c r="A12" s="14">
        <v>301</v>
      </c>
      <c r="B12" s="14">
        <v>0.95420436730000002</v>
      </c>
      <c r="C12" s="14">
        <v>0.39387039619999997</v>
      </c>
      <c r="D12" s="14">
        <v>0.1707710033</v>
      </c>
      <c r="E12" s="14">
        <v>1.0463281508</v>
      </c>
      <c r="G12" s="23"/>
    </row>
    <row r="13" spans="1:8" x14ac:dyDescent="0.3">
      <c r="A13" s="14">
        <v>331</v>
      </c>
      <c r="B13" s="14">
        <v>0.60067523970000003</v>
      </c>
      <c r="C13" s="14">
        <v>0.74403480759999996</v>
      </c>
      <c r="D13" s="14">
        <v>0.32255908529999999</v>
      </c>
      <c r="E13" s="14">
        <v>1.009179321</v>
      </c>
    </row>
    <row r="14" spans="1:8" x14ac:dyDescent="0.3">
      <c r="A14" s="14">
        <v>361</v>
      </c>
      <c r="B14" s="14">
        <v>9.1608118700000005E-2</v>
      </c>
      <c r="C14" s="14">
        <v>0.9015442253</v>
      </c>
      <c r="D14" s="14">
        <v>0.39082604980000002</v>
      </c>
      <c r="E14" s="14">
        <v>0.98687336510000001</v>
      </c>
    </row>
    <row r="15" spans="1:8" x14ac:dyDescent="0.3">
      <c r="A15" s="14">
        <v>391</v>
      </c>
      <c r="B15" s="14">
        <v>-0.44290297899999997</v>
      </c>
      <c r="C15" s="14">
        <v>0.80939759749999995</v>
      </c>
      <c r="D15" s="14">
        <v>0.35086528090000002</v>
      </c>
      <c r="E15" s="14">
        <v>0.98711395739999996</v>
      </c>
    </row>
    <row r="16" spans="1:8" x14ac:dyDescent="0.3">
      <c r="A16" s="14">
        <v>421</v>
      </c>
      <c r="B16" s="14">
        <v>-0.85491526520000005</v>
      </c>
      <c r="C16" s="14">
        <v>0.49312379989999999</v>
      </c>
      <c r="D16" s="14">
        <v>0.2137477552</v>
      </c>
      <c r="E16" s="14">
        <v>1.0098214176</v>
      </c>
    </row>
    <row r="17" spans="1:5" x14ac:dyDescent="0.3">
      <c r="A17" s="14">
        <v>451</v>
      </c>
      <c r="B17" s="14">
        <v>-1.0458122215000001</v>
      </c>
      <c r="C17" s="14">
        <v>4.9162777999999997E-2</v>
      </c>
      <c r="D17" s="14">
        <v>2.1283355100000002E-2</v>
      </c>
      <c r="E17" s="14">
        <v>1.0471834427</v>
      </c>
    </row>
    <row r="18" spans="1:5" x14ac:dyDescent="0.3">
      <c r="A18" s="14">
        <v>481</v>
      </c>
      <c r="B18" s="14">
        <v>-0.99396358309999999</v>
      </c>
      <c r="C18" s="14">
        <v>-0.4063026408</v>
      </c>
      <c r="D18" s="14">
        <v>-0.17616153770000001</v>
      </c>
      <c r="E18" s="14">
        <v>1.0881536324000001</v>
      </c>
    </row>
    <row r="19" spans="1:5" x14ac:dyDescent="0.3">
      <c r="A19" s="14">
        <v>511</v>
      </c>
      <c r="B19" s="14">
        <v>-0.73640877039999997</v>
      </c>
      <c r="C19" s="14">
        <v>-0.77773560529999997</v>
      </c>
      <c r="D19" s="14">
        <v>-0.33717228919999997</v>
      </c>
      <c r="E19" s="14">
        <v>1.1228783111</v>
      </c>
    </row>
    <row r="20" spans="1:5" x14ac:dyDescent="0.3">
      <c r="A20" s="14">
        <v>541</v>
      </c>
      <c r="B20" s="14">
        <v>-0.34015132809999998</v>
      </c>
      <c r="C20" s="14">
        <v>-1.0026931978</v>
      </c>
      <c r="D20" s="14">
        <v>-0.43468146460000001</v>
      </c>
      <c r="E20" s="14">
        <v>1.1445717761</v>
      </c>
    </row>
    <row r="21" spans="1:5" x14ac:dyDescent="0.3">
      <c r="A21" s="14">
        <v>571</v>
      </c>
      <c r="B21" s="14">
        <v>0.11656339609999999</v>
      </c>
      <c r="C21" s="14">
        <v>-1.0493392266999999</v>
      </c>
      <c r="D21" s="14">
        <v>-0.45489009489999999</v>
      </c>
      <c r="E21" s="14">
        <v>1.1496194312000001</v>
      </c>
    </row>
    <row r="22" spans="1:5" x14ac:dyDescent="0.3">
      <c r="A22" s="14">
        <v>601</v>
      </c>
      <c r="B22" s="14">
        <v>0.55276242389999997</v>
      </c>
      <c r="C22" s="14">
        <v>-0.91187490510000002</v>
      </c>
      <c r="D22" s="14">
        <v>-0.39528661980000002</v>
      </c>
      <c r="E22" s="14">
        <v>1.1372394873</v>
      </c>
    </row>
    <row r="23" spans="1:5" x14ac:dyDescent="0.3">
      <c r="A23" s="14">
        <v>631</v>
      </c>
      <c r="B23" s="14">
        <v>0.8887229378</v>
      </c>
      <c r="C23" s="14">
        <v>-0.60922077880000003</v>
      </c>
      <c r="D23" s="14">
        <v>-0.26407538749999998</v>
      </c>
      <c r="E23" s="14">
        <v>1.1093756026999999</v>
      </c>
    </row>
    <row r="24" spans="1:5" x14ac:dyDescent="0.3">
      <c r="A24" s="14">
        <v>661</v>
      </c>
      <c r="B24" s="14">
        <v>1.0512100797999999</v>
      </c>
      <c r="C24" s="14">
        <v>-0.18777447289999999</v>
      </c>
      <c r="D24" s="14">
        <v>-8.1372004900000003E-2</v>
      </c>
      <c r="E24" s="14">
        <v>1.0709450442999999</v>
      </c>
    </row>
    <row r="25" spans="1:5" x14ac:dyDescent="0.3">
      <c r="A25" s="14">
        <v>691</v>
      </c>
      <c r="B25" s="14">
        <v>0.98578283069999995</v>
      </c>
      <c r="C25" s="14">
        <v>0.2742801943</v>
      </c>
      <c r="D25" s="14">
        <v>0.11892898139999999</v>
      </c>
      <c r="E25" s="14">
        <v>1.0301172345</v>
      </c>
    </row>
    <row r="26" spans="1:5" x14ac:dyDescent="0.3">
      <c r="A26" s="14">
        <v>721</v>
      </c>
      <c r="B26" s="14">
        <v>0.68034381690000001</v>
      </c>
      <c r="C26" s="14">
        <v>0.66947406939999998</v>
      </c>
      <c r="D26" s="14">
        <v>0.29023887079999999</v>
      </c>
      <c r="E26" s="14">
        <v>0.99764815490000003</v>
      </c>
    </row>
    <row r="27" spans="1:5" x14ac:dyDescent="0.3">
      <c r="A27" s="14">
        <v>751</v>
      </c>
      <c r="B27" s="14">
        <v>0.19259917469999999</v>
      </c>
      <c r="C27" s="14">
        <v>0.88524674960000005</v>
      </c>
      <c r="D27" s="14">
        <v>0.38376381399999998</v>
      </c>
      <c r="E27" s="14">
        <v>0.98388562079999997</v>
      </c>
    </row>
    <row r="28" spans="1:5" x14ac:dyDescent="0.3">
      <c r="A28" s="14">
        <v>781</v>
      </c>
      <c r="B28" s="14">
        <v>-0.349021568</v>
      </c>
      <c r="C28" s="14">
        <v>0.85368923539999997</v>
      </c>
      <c r="D28" s="14">
        <v>0.37006850429999999</v>
      </c>
      <c r="E28" s="14">
        <v>0.99375654130000002</v>
      </c>
    </row>
    <row r="29" spans="1:5" x14ac:dyDescent="0.3">
      <c r="A29" s="14">
        <v>811</v>
      </c>
      <c r="B29" s="14">
        <v>-0.79608390559999997</v>
      </c>
      <c r="C29" s="14">
        <v>0.59050907320000001</v>
      </c>
      <c r="D29" s="14">
        <v>0.25596634099999999</v>
      </c>
      <c r="E29" s="14">
        <v>1.0237037256999999</v>
      </c>
    </row>
    <row r="30" spans="1:5" x14ac:dyDescent="0.3">
      <c r="A30" s="14">
        <v>841</v>
      </c>
      <c r="B30" s="14">
        <v>-1.0455723576</v>
      </c>
      <c r="C30" s="14">
        <v>0.18060434380000001</v>
      </c>
      <c r="D30" s="14">
        <v>7.8263877400000001E-2</v>
      </c>
      <c r="E30" s="14">
        <v>1.0639383058</v>
      </c>
    </row>
    <row r="31" spans="1:5" x14ac:dyDescent="0.3">
      <c r="A31" s="14">
        <v>871</v>
      </c>
      <c r="B31" s="14">
        <v>-1.0637007466999999</v>
      </c>
      <c r="C31" s="14">
        <v>-0.26937528649999998</v>
      </c>
      <c r="D31" s="14">
        <v>-0.1168048372</v>
      </c>
      <c r="E31" s="14">
        <v>1.1034789049</v>
      </c>
    </row>
    <row r="32" spans="1:5" x14ac:dyDescent="0.3">
      <c r="A32" s="14">
        <v>901</v>
      </c>
      <c r="B32" s="14">
        <v>-0.87074417270000004</v>
      </c>
      <c r="C32" s="14">
        <v>-0.6659717181</v>
      </c>
      <c r="D32" s="14">
        <v>-0.28872585299999998</v>
      </c>
      <c r="E32" s="14">
        <v>1.1336120861000001</v>
      </c>
    </row>
    <row r="33" spans="1:5" x14ac:dyDescent="0.3">
      <c r="A33" s="14">
        <v>931</v>
      </c>
      <c r="B33" s="14">
        <v>-0.51837482609999996</v>
      </c>
      <c r="C33" s="14">
        <v>-0.9406808136</v>
      </c>
      <c r="D33" s="14">
        <v>-0.407803745</v>
      </c>
      <c r="E33" s="14">
        <v>1.1488675936999999</v>
      </c>
    </row>
    <row r="34" spans="1:5" x14ac:dyDescent="0.3">
      <c r="A34" s="14">
        <v>961</v>
      </c>
      <c r="B34" s="14">
        <v>-7.4854080200000006E-2</v>
      </c>
      <c r="C34" s="14">
        <v>-1.0499533256</v>
      </c>
      <c r="D34" s="14">
        <v>-0.45516160519999999</v>
      </c>
      <c r="E34" s="14">
        <v>1.1468117571000001</v>
      </c>
    </row>
    <row r="35" spans="1:5" x14ac:dyDescent="0.3">
      <c r="A35" s="14">
        <v>991</v>
      </c>
      <c r="B35" s="14">
        <v>0.3818463117</v>
      </c>
      <c r="C35" s="14">
        <v>-0.9736026109</v>
      </c>
      <c r="D35" s="14">
        <v>-0.42205058899999998</v>
      </c>
      <c r="E35" s="14">
        <v>1.1277567775999999</v>
      </c>
    </row>
    <row r="36" spans="1:5" x14ac:dyDescent="0.3">
      <c r="A36" s="14">
        <v>1021</v>
      </c>
      <c r="B36" s="14">
        <v>0.76749360749999995</v>
      </c>
      <c r="C36" s="14">
        <v>-0.7163342895</v>
      </c>
      <c r="D36" s="14">
        <v>-0.3105129345</v>
      </c>
      <c r="E36" s="14">
        <v>1.0948057062000001</v>
      </c>
    </row>
    <row r="37" spans="1:5" x14ac:dyDescent="0.3">
      <c r="A37" s="14">
        <v>1051</v>
      </c>
      <c r="B37" s="14">
        <v>0.99720651049999998</v>
      </c>
      <c r="C37" s="14">
        <v>-0.31368662980000001</v>
      </c>
      <c r="D37" s="14">
        <v>-0.1359569907</v>
      </c>
      <c r="E37" s="14">
        <v>1.0541842483999999</v>
      </c>
    </row>
    <row r="38" spans="1:5" x14ac:dyDescent="0.3">
      <c r="A38" s="14">
        <v>1081</v>
      </c>
      <c r="B38" s="14">
        <v>1.0001810310000001</v>
      </c>
      <c r="C38" s="14">
        <v>0.16015184809999999</v>
      </c>
      <c r="D38" s="14">
        <v>6.9454223400000001E-2</v>
      </c>
      <c r="E38" s="14">
        <v>1.0153002503999999</v>
      </c>
    </row>
    <row r="39" spans="1:5" x14ac:dyDescent="0.3">
      <c r="A39" s="14">
        <v>1111</v>
      </c>
      <c r="B39" s="14">
        <v>0.74880917629999999</v>
      </c>
      <c r="C39" s="14">
        <v>0.59315481950000004</v>
      </c>
      <c r="D39" s="14">
        <v>0.2571560235</v>
      </c>
      <c r="E39" s="14">
        <v>0.98928107379999997</v>
      </c>
    </row>
    <row r="40" spans="1:5" x14ac:dyDescent="0.3">
      <c r="A40" s="14">
        <v>1141</v>
      </c>
      <c r="B40" s="14">
        <v>0.29168599519999999</v>
      </c>
      <c r="C40" s="14">
        <v>0.8631168722</v>
      </c>
      <c r="D40" s="14">
        <v>0.37417315289999997</v>
      </c>
      <c r="E40" s="14">
        <v>0.98491471880000003</v>
      </c>
    </row>
    <row r="41" spans="1:5" x14ac:dyDescent="0.3">
      <c r="A41" s="14">
        <v>1171</v>
      </c>
      <c r="B41" s="14">
        <v>-0.24671143000000001</v>
      </c>
      <c r="C41" s="14">
        <v>0.8927313872</v>
      </c>
      <c r="D41" s="14">
        <v>0.38699628479999998</v>
      </c>
      <c r="E41" s="14">
        <v>1.0037937955</v>
      </c>
    </row>
    <row r="42" spans="1:5" x14ac:dyDescent="0.3">
      <c r="A42" s="14">
        <v>1201</v>
      </c>
      <c r="B42" s="14">
        <v>-0.72030441239999998</v>
      </c>
      <c r="C42" s="14">
        <v>0.6873880537</v>
      </c>
      <c r="D42" s="14">
        <v>0.2979659154</v>
      </c>
      <c r="E42" s="14">
        <v>1.0392903683000001</v>
      </c>
    </row>
    <row r="43" spans="1:5" x14ac:dyDescent="0.3">
      <c r="A43" s="14">
        <v>1231</v>
      </c>
      <c r="B43" s="14">
        <v>-1.0231180117000001</v>
      </c>
      <c r="C43" s="14">
        <v>0.3188716721</v>
      </c>
      <c r="D43" s="14">
        <v>0.1382040132</v>
      </c>
      <c r="E43" s="14">
        <v>1.080532257</v>
      </c>
    </row>
    <row r="44" spans="1:5" x14ac:dyDescent="0.3">
      <c r="A44" s="14">
        <v>1261</v>
      </c>
      <c r="B44" s="14">
        <v>-1.1098682995</v>
      </c>
      <c r="C44" s="14">
        <v>-0.1171143994</v>
      </c>
      <c r="D44" s="14">
        <v>-5.0800328499999998E-2</v>
      </c>
      <c r="E44" s="14">
        <v>1.1171857939000001</v>
      </c>
    </row>
    <row r="45" spans="1:5" x14ac:dyDescent="0.3">
      <c r="A45" s="14">
        <v>1291</v>
      </c>
      <c r="B45" s="14">
        <v>-0.98440626740000003</v>
      </c>
      <c r="C45" s="14">
        <v>-0.5307982255</v>
      </c>
      <c r="D45" s="14">
        <v>-0.2301306746</v>
      </c>
      <c r="E45" s="14">
        <v>1.1418242347000001</v>
      </c>
    </row>
    <row r="46" spans="1:5" x14ac:dyDescent="0.3">
      <c r="A46" s="14">
        <v>1321</v>
      </c>
      <c r="B46" s="14">
        <v>-0.68257432709999999</v>
      </c>
      <c r="C46" s="14">
        <v>-0.84944055149999997</v>
      </c>
      <c r="D46" s="14">
        <v>-0.36825521970000002</v>
      </c>
      <c r="E46" s="14">
        <v>1.1502473079</v>
      </c>
    </row>
    <row r="47" spans="1:5" x14ac:dyDescent="0.3">
      <c r="A47" s="14">
        <v>1351</v>
      </c>
      <c r="B47" s="14">
        <v>-0.26111309040000003</v>
      </c>
      <c r="C47" s="14">
        <v>-1.019222225</v>
      </c>
      <c r="D47" s="14">
        <v>-0.44184468630000001</v>
      </c>
      <c r="E47" s="14">
        <v>1.1411488583</v>
      </c>
    </row>
    <row r="48" spans="1:5" x14ac:dyDescent="0.3">
      <c r="A48" s="14">
        <v>1381</v>
      </c>
      <c r="B48" s="14">
        <v>0.20717236989999999</v>
      </c>
      <c r="C48" s="14">
        <v>-1.0060765734999999</v>
      </c>
      <c r="D48" s="14">
        <v>-0.4361330316</v>
      </c>
      <c r="E48" s="14">
        <v>1.1159401793999999</v>
      </c>
    </row>
    <row r="49" spans="1:5" x14ac:dyDescent="0.3">
      <c r="A49" s="14">
        <v>1411</v>
      </c>
      <c r="B49" s="14">
        <v>0.63562215239999997</v>
      </c>
      <c r="C49" s="14">
        <v>-0.7999137597</v>
      </c>
      <c r="D49" s="14">
        <v>-0.34674866259999998</v>
      </c>
      <c r="E49" s="14">
        <v>1.0789403036</v>
      </c>
    </row>
    <row r="50" spans="1:5" x14ac:dyDescent="0.3">
      <c r="A50" s="14">
        <v>1441</v>
      </c>
      <c r="B50" s="14">
        <v>0.92908371020000002</v>
      </c>
      <c r="C50" s="14">
        <v>-0.42408074489999997</v>
      </c>
      <c r="D50" s="14">
        <v>-0.18381522550000001</v>
      </c>
      <c r="E50" s="14">
        <v>1.0377037418999999</v>
      </c>
    </row>
    <row r="51" spans="1:5" x14ac:dyDescent="0.3">
      <c r="A51" s="14">
        <v>1471</v>
      </c>
      <c r="B51" s="14">
        <v>1.0010021150999999</v>
      </c>
      <c r="C51" s="14">
        <v>5.27083151E-2</v>
      </c>
      <c r="D51" s="14">
        <v>2.2876986700000001E-2</v>
      </c>
      <c r="E51" s="14">
        <v>1.0026498678</v>
      </c>
    </row>
    <row r="52" spans="1:5" x14ac:dyDescent="0.3">
      <c r="D52" s="22" t="s">
        <v>1</v>
      </c>
      <c r="E52" s="14">
        <f>AVERAGE(dt_30[r (Distance in AU)])</f>
        <v>1.0709305170320003</v>
      </c>
    </row>
  </sheetData>
  <mergeCells count="2">
    <mergeCell ref="G3:G5"/>
    <mergeCell ref="H3:H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3019-D37A-4248-B1E4-CD71D7FE86DE}">
  <dimension ref="C4:E11"/>
  <sheetViews>
    <sheetView topLeftCell="A7" workbookViewId="0">
      <selection activeCell="N25" sqref="N25"/>
    </sheetView>
  </sheetViews>
  <sheetFormatPr defaultColWidth="9.109375" defaultRowHeight="15.6" x14ac:dyDescent="0.3"/>
  <cols>
    <col min="1" max="2" width="9.109375" style="9"/>
    <col min="3" max="3" width="10.44140625" style="9" customWidth="1"/>
    <col min="4" max="4" width="23.6640625" style="9" bestFit="1" customWidth="1"/>
    <col min="5" max="5" width="22.5546875" style="9" bestFit="1" customWidth="1"/>
    <col min="6" max="16384" width="9.109375" style="9"/>
  </cols>
  <sheetData>
    <row r="4" spans="3:5" x14ac:dyDescent="0.3">
      <c r="C4" s="10" t="s">
        <v>14</v>
      </c>
      <c r="D4" s="11" t="s">
        <v>15</v>
      </c>
      <c r="E4" s="12" t="s">
        <v>8</v>
      </c>
    </row>
    <row r="5" spans="3:5" x14ac:dyDescent="0.3">
      <c r="C5" s="13" t="s">
        <v>16</v>
      </c>
      <c r="D5" s="14">
        <f>AVERAGE(horizons_results_fin_use___Copy__2[r (Distance in AU)])</f>
        <v>1.0001276008542288</v>
      </c>
      <c r="E5" s="15">
        <v>0</v>
      </c>
    </row>
    <row r="6" spans="3:5" x14ac:dyDescent="0.3">
      <c r="C6" s="13">
        <v>1</v>
      </c>
      <c r="D6" s="16">
        <f>dt_1[[#Totals],[r (Distance in AU)]]</f>
        <v>1.0004665715536252</v>
      </c>
      <c r="E6" s="15">
        <f>'dt_1'!H8</f>
        <v>3.3892745196397595E-4</v>
      </c>
    </row>
    <row r="7" spans="3:5" x14ac:dyDescent="0.3">
      <c r="C7" s="13">
        <v>7</v>
      </c>
      <c r="D7" s="17">
        <f>dt_7[[#Totals],[r (Distance in AU)]]</f>
        <v>1.0041072942147624</v>
      </c>
      <c r="E7" s="15">
        <f>'dt_7'!H8</f>
        <v>3.9791856130502491E-3</v>
      </c>
    </row>
    <row r="8" spans="3:5" x14ac:dyDescent="0.3">
      <c r="C8" s="13">
        <v>14</v>
      </c>
      <c r="D8" s="17">
        <f>dt_14[[#Totals],[r (Distance in AU)]]</f>
        <v>1.0152629100518873</v>
      </c>
      <c r="E8" s="15">
        <f>'dt_14'!H8</f>
        <v>1.5133378165677178E-2</v>
      </c>
    </row>
    <row r="9" spans="3:5" x14ac:dyDescent="0.3">
      <c r="C9" s="13">
        <v>21</v>
      </c>
      <c r="D9" s="17">
        <f>dt_21[[#Totals],[r (Distance in AU)]]</f>
        <v>1.0341536891450707</v>
      </c>
      <c r="E9" s="15">
        <f>'dt_21'!H8</f>
        <v>3.4021747086851219E-2</v>
      </c>
    </row>
    <row r="10" spans="3:5" x14ac:dyDescent="0.3">
      <c r="C10" s="13">
        <v>28</v>
      </c>
      <c r="D10" s="17">
        <f>dt_28[[#Totals],[r (Distance in AU)]]</f>
        <v>1.0605830034888892</v>
      </c>
      <c r="E10" s="15">
        <f>'dt_28'!H8</f>
        <v>6.0447689457849445E-2</v>
      </c>
    </row>
    <row r="11" spans="3:5" x14ac:dyDescent="0.3">
      <c r="C11" s="18">
        <v>30</v>
      </c>
      <c r="D11" s="17">
        <f>dt_30[[#Totals],[r (Distance in AU)]]</f>
        <v>1.0709305170320003</v>
      </c>
      <c r="E11" s="19">
        <f>'dt_30'!H8</f>
        <v>7.0793882817849721E-2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DDD96A-4DAF-452F-A9CA-8925B1416E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NASA</vt:lpstr>
      <vt:lpstr>dt_1</vt:lpstr>
      <vt:lpstr>dt_7</vt:lpstr>
      <vt:lpstr>dt_14</vt:lpstr>
      <vt:lpstr>dt_21</vt:lpstr>
      <vt:lpstr>dt_28</vt:lpstr>
      <vt:lpstr>dt_30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Pongo</cp:lastModifiedBy>
  <dcterms:created xsi:type="dcterms:W3CDTF">2015-06-05T18:17:20Z</dcterms:created>
  <dcterms:modified xsi:type="dcterms:W3CDTF">2026-04-01T02:44:06Z</dcterms:modified>
</cp:coreProperties>
</file>